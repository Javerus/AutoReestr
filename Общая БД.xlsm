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9.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bookViews>
    <workbookView visibility="visible" minimized="0" showHorizontalScroll="1" showVerticalScroll="1" showSheetTabs="1" xWindow="34400" yWindow="500" windowWidth="34400" windowHeight="26800" tabRatio="600" firstSheet="0" activeTab="1" autoFilterDateGrouping="1"/>
  </bookViews>
  <sheets>
    <sheet name="Реест" sheetId="1" state="visible" r:id="rId1"/>
    <sheet name="АОСР" sheetId="2" state="visible" r:id="rId2"/>
    <sheet name="БД" sheetId="3" state="visible" r:id="rId3"/>
    <sheet name="Материалы" sheetId="4" state="visible" r:id="rId4"/>
    <sheet name="ИС" sheetId="5" state="visible" r:id="rId5"/>
    <sheet name="БД (3)" sheetId="6" state="visible" r:id="rId6"/>
    <sheet name="БД (4)" sheetId="7" state="visible" r:id="rId7"/>
    <sheet name="Лист1" sheetId="8" state="visible" r:id="rId8"/>
    <sheet name="АООК (в разработке)" sheetId="9" state="visible" r:id="rId9"/>
  </sheets>
  <definedNames>
    <definedName name="АОСРданные">#REF!</definedName>
    <definedName name="АОСРномер">#REF!</definedName>
    <definedName name="В_соот">#REF!</definedName>
    <definedName name="гост">#REF!</definedName>
    <definedName name="данные">#REF!</definedName>
    <definedName name="дата">#REF!</definedName>
    <definedName name="Индекс">АОСР!$Q$25</definedName>
    <definedName name="колво">#REF!</definedName>
    <definedName name="контроль">#REF!</definedName>
    <definedName name="материал">#REF!</definedName>
    <definedName name="материалы">#REF!</definedName>
    <definedName name="На_основ">#REF!</definedName>
    <definedName name="начало">#REF!</definedName>
    <definedName name="номер">#REF!+1</definedName>
    <definedName name="номер40">#REF!</definedName>
    <definedName name="номерПоз">АОСР!$Q$25</definedName>
    <definedName name="объем">#REF!</definedName>
    <definedName name="оконч">#REF!</definedName>
    <definedName name="парамтеры">#REF!</definedName>
    <definedName name="При_пров">#REF!</definedName>
    <definedName name="приложения">#REF!</definedName>
    <definedName name="проект">#REF!</definedName>
    <definedName name="работа">#REF!</definedName>
    <definedName name="РАЗРданные">#REF!</definedName>
    <definedName name="разрешается">#REF!</definedName>
    <definedName name="серты">#REF!</definedName>
    <definedName name="Технадзор1">#REF!</definedName>
    <definedName name="Технадзор2">#REF!</definedName>
    <definedName name="Технадзор3">#REF!</definedName>
    <definedName name="Технадзор4">#REF!</definedName>
    <definedName name="Условия">#REF!</definedName>
    <definedName name="Установ">#REF!</definedName>
    <definedName name="цфуыавпчпа">#REF!</definedName>
    <definedName name="№1">#REF!</definedName>
    <definedName name="№2">#REF!</definedName>
    <definedName name="№акта">#REF!</definedName>
    <definedName name="_xlnm.Print_Area" localSheetId="0">'Реест'!$B$1:$F$91</definedName>
    <definedName name="номер40" localSheetId="1">АОСР!$Q$25</definedName>
    <definedName name="OLE_LINK1" localSheetId="1">АОСР!$A$37</definedName>
    <definedName name="_xlnm.Print_Area" localSheetId="1">АОСР!$A$1:$L$104</definedName>
    <definedName name="_xlnm.Print_Area" localSheetId="1">'АОСР'!$A$2:$L$107</definedName>
    <definedName name="_xlnm._FilterDatabase" localSheetId="6" hidden="1">'БД (4)'!$A$1:$L$1</definedName>
    <definedName name="номер40" localSheetId="8">'АООК (в разработке)'!$N$25</definedName>
    <definedName name="OLE_LINK1" localSheetId="8">'АООК (в разработке)'!$A$37</definedName>
    <definedName name="_xlnm.Print_Area" localSheetId="8">'АООК (в разработке)'!$A$1:$L$104</definedName>
    <definedName name="_xlnm.Print_Area" localSheetId="8">'АООК (в разработке)'!$A$2:$L$107</definedName>
  </definedNames>
  <calcPr calcId="191029" fullCalcOnLoad="1"/>
  <pivotCaches>
    <pivotCache cacheId="0" r:id="rId10"/>
  </pivotCaches>
</workbook>
</file>

<file path=xl/styles.xml><?xml version="1.0" encoding="utf-8"?>
<styleSheet xmlns="http://schemas.openxmlformats.org/spreadsheetml/2006/main">
  <numFmts count="4">
    <numFmt numFmtId="164" formatCode="[$-F800]dddd\,\ mmmm\ dd\,\ yyyy"/>
    <numFmt numFmtId="165" formatCode="[$-FC19]dd\ mmmm\ yyyy\ \г\.;@"/>
    <numFmt numFmtId="166" formatCode="_-* #,##0.00&quot;р.&quot;_-;\-* #,##0.00&quot;р.&quot;_-;_-* &quot;-&quot;??&quot;р.&quot;_-;_-@_-"/>
    <numFmt numFmtId="167" formatCode="_-* #,##0.00\ _₽_-;\-* #,##0.00\ _₽_-;_-* &quot;-&quot;??\ _₽_-;_-@_-"/>
  </numFmts>
  <fonts count="34">
    <font>
      <name val="Calibri"/>
      <charset val="204"/>
      <family val="2"/>
      <color theme="1"/>
      <sz val="12"/>
      <scheme val="minor"/>
    </font>
    <font>
      <name val="Courier New"/>
      <charset val="204"/>
      <family val="3"/>
      <sz val="8"/>
    </font>
    <font>
      <name val="Helv"/>
      <charset val="204"/>
      <sz val="10"/>
    </font>
    <font>
      <name val="Calibri"/>
      <charset val="204"/>
      <family val="2"/>
      <color theme="1"/>
      <sz val="12"/>
      <scheme val="minor"/>
    </font>
    <font>
      <name val="Times New Roman"/>
      <charset val="204"/>
      <family val="1"/>
      <color theme="1"/>
      <sz val="10"/>
    </font>
    <font>
      <name val="Times New Roman"/>
      <charset val="204"/>
      <family val="1"/>
      <color rgb="FF000000"/>
      <sz val="10"/>
    </font>
    <font>
      <name val="Calibri"/>
      <charset val="204"/>
      <family val="2"/>
      <color theme="1"/>
      <sz val="11"/>
      <scheme val="minor"/>
    </font>
    <font>
      <name val="Calibri"/>
      <charset val="204"/>
      <family val="2"/>
      <sz val="11"/>
      <scheme val="minor"/>
    </font>
    <font>
      <name val="Times New Roman"/>
      <charset val="204"/>
      <family val="1"/>
      <sz val="11"/>
    </font>
    <font>
      <name val="Times New Roman"/>
      <charset val="204"/>
      <family val="1"/>
      <sz val="8"/>
    </font>
    <font>
      <name val="Times New Roman"/>
      <charset val="204"/>
      <family val="1"/>
      <b val="1"/>
      <i val="1"/>
      <sz val="11"/>
    </font>
    <font>
      <name val="Times New Roman"/>
      <charset val="204"/>
      <family val="1"/>
      <i val="1"/>
      <sz val="9"/>
    </font>
    <font>
      <name val="Times New Roman"/>
      <charset val="204"/>
      <family val="1"/>
      <i val="1"/>
      <sz val="11"/>
    </font>
    <font>
      <name val="Times New Roman"/>
      <charset val="204"/>
      <family val="1"/>
      <b val="1"/>
      <i val="1"/>
      <sz val="11"/>
      <u val="single"/>
    </font>
    <font>
      <name val="Times New Roman"/>
      <charset val="204"/>
      <family val="1"/>
      <sz val="13"/>
    </font>
    <font>
      <name val="Times New Roman"/>
      <charset val="204"/>
      <family val="1"/>
      <b val="1"/>
      <sz val="11"/>
    </font>
    <font>
      <name val="Times New Roman"/>
      <charset val="204"/>
      <family val="1"/>
      <sz val="9"/>
    </font>
    <font>
      <name val="Times New Roman"/>
      <charset val="204"/>
      <family val="1"/>
      <b val="1"/>
      <sz val="12"/>
    </font>
    <font>
      <name val="Times New Roman"/>
      <family val="1"/>
      <sz val="12"/>
    </font>
    <font>
      <name val="Times New Roman"/>
      <charset val="204"/>
      <family val="1"/>
      <i val="1"/>
      <sz val="12"/>
    </font>
    <font>
      <name val="Times New Roman"/>
      <charset val="204"/>
      <family val="1"/>
      <b val="1"/>
      <i val="1"/>
      <sz val="12"/>
    </font>
    <font>
      <name val="Times New Roman"/>
      <charset val="204"/>
      <family val="1"/>
      <sz val="13"/>
      <u val="single"/>
    </font>
    <font>
      <name val="Calibri"/>
      <family val="2"/>
      <color rgb="FF000000"/>
      <sz val="12"/>
    </font>
    <font>
      <name val="Calibri"/>
      <charset val="204"/>
      <family val="2"/>
      <color rgb="FF000000"/>
      <sz val="11"/>
    </font>
    <font>
      <name val="Times New Roman"/>
      <charset val="204"/>
      <family val="1"/>
      <b val="1"/>
      <sz val="10"/>
    </font>
    <font>
      <name val="Times New Roman"/>
      <charset val="204"/>
      <family val="1"/>
      <sz val="10"/>
    </font>
    <font>
      <name val="Times New Roman"/>
      <charset val="204"/>
      <family val="1"/>
      <color indexed="8"/>
      <sz val="10"/>
    </font>
    <font>
      <name val="Times New Roman"/>
      <charset val="204"/>
      <family val="1"/>
      <color indexed="8"/>
      <sz val="11"/>
    </font>
    <font>
      <name val="Times New Roman"/>
      <charset val="204"/>
      <family val="1"/>
      <color theme="1"/>
      <sz val="11"/>
    </font>
    <font>
      <name val="Times New Roman"/>
      <charset val="204"/>
      <family val="1"/>
      <color theme="1"/>
      <sz val="12"/>
    </font>
    <font>
      <name val="Times New Roman"/>
      <charset val="204"/>
      <family val="1"/>
      <b val="1"/>
      <color theme="1"/>
      <sz val="12"/>
    </font>
    <font>
      <name val="Times New Roman"/>
      <charset val="204"/>
      <family val="1"/>
      <color theme="1"/>
      <sz val="9"/>
    </font>
    <font>
      <name val="Times New Roman"/>
      <charset val="204"/>
      <family val="1"/>
      <b val="1"/>
      <color theme="1"/>
      <sz val="14"/>
      <u val="single"/>
    </font>
    <font>
      <name val="Times New Roman"/>
      <charset val="204"/>
      <family val="1"/>
      <b val="1"/>
      <color theme="1"/>
      <sz val="13"/>
    </font>
  </fonts>
  <fills count="7">
    <fill>
      <patternFill/>
    </fill>
    <fill>
      <patternFill patternType="gray125"/>
    </fill>
    <fill>
      <patternFill patternType="solid">
        <fgColor theme="4" tint="0.5999938962981048"/>
        <bgColor indexed="65"/>
      </patternFill>
    </fill>
    <fill>
      <patternFill patternType="solid">
        <fgColor theme="8" tint="0.5999938962981048"/>
        <bgColor indexed="64"/>
      </patternFill>
    </fill>
    <fill>
      <patternFill patternType="solid">
        <fgColor theme="9" tint="0.7999816888943144"/>
        <bgColor indexed="64"/>
      </patternFill>
    </fill>
    <fill>
      <patternFill patternType="solid">
        <fgColor rgb="FF92D050"/>
        <bgColor indexed="64"/>
      </patternFill>
    </fill>
    <fill>
      <patternFill patternType="solid">
        <fgColor theme="0" tint="-0.149998474074526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s>
  <cellStyleXfs count="7">
    <xf numFmtId="0" fontId="3" fillId="0" borderId="0"/>
    <xf numFmtId="0" fontId="1" fillId="0" borderId="0"/>
    <xf numFmtId="0" fontId="2" fillId="0" borderId="0"/>
    <xf numFmtId="0" fontId="3" fillId="2" borderId="0"/>
    <xf numFmtId="0" fontId="6" fillId="0" borderId="0"/>
    <xf numFmtId="166" fontId="6" fillId="0" borderId="0"/>
    <xf numFmtId="167" fontId="6" fillId="0" borderId="0"/>
  </cellStyleXfs>
  <cellXfs count="123">
    <xf numFmtId="0" fontId="0" fillId="0" borderId="0" pivotButton="0" quotePrefix="0" xfId="0"/>
    <xf numFmtId="164" fontId="3" fillId="0" borderId="1" applyAlignment="1" pivotButton="0" quotePrefix="0" xfId="3">
      <alignment horizontal="center" vertical="center"/>
    </xf>
    <xf numFmtId="14" fontId="4" fillId="0" borderId="1" applyAlignment="1" pivotButton="0" quotePrefix="0" xfId="0">
      <alignment horizontal="center" vertical="center"/>
    </xf>
    <xf numFmtId="0" fontId="7" fillId="0" borderId="0" pivotButton="0" quotePrefix="0" xfId="4"/>
    <xf numFmtId="0" fontId="8" fillId="0" borderId="0" pivotButton="0" quotePrefix="0" xfId="4"/>
    <xf numFmtId="0" fontId="10" fillId="0" borderId="3" applyAlignment="1" pivotButton="0" quotePrefix="0" xfId="4">
      <alignment horizontal="center" vertical="center" wrapText="1"/>
    </xf>
    <xf numFmtId="0" fontId="7" fillId="0" borderId="0" applyAlignment="1" pivotButton="0" quotePrefix="0" xfId="4">
      <alignment horizontal="center"/>
    </xf>
    <xf numFmtId="0" fontId="8" fillId="0" borderId="0" applyAlignment="1" pivotButton="0" quotePrefix="0" xfId="4">
      <alignment vertical="center"/>
    </xf>
    <xf numFmtId="0" fontId="11" fillId="0" borderId="0" applyAlignment="1" pivotButton="0" quotePrefix="0" xfId="4">
      <alignment horizontal="center" vertical="center" wrapText="1"/>
    </xf>
    <xf numFmtId="0" fontId="8" fillId="0" borderId="0" applyAlignment="1" pivotButton="0" quotePrefix="0" xfId="4">
      <alignment vertical="center" wrapText="1"/>
    </xf>
    <xf numFmtId="0" fontId="8" fillId="0" borderId="4" pivotButton="0" quotePrefix="0" xfId="4"/>
    <xf numFmtId="0" fontId="7" fillId="0" borderId="0" applyAlignment="1" pivotButton="0" quotePrefix="0" xfId="4">
      <alignment horizontal="left"/>
    </xf>
    <xf numFmtId="0" fontId="8" fillId="0" borderId="0" applyAlignment="1" pivotButton="0" quotePrefix="0" xfId="4">
      <alignment horizontal="center" vertical="center" wrapText="1"/>
    </xf>
    <xf numFmtId="0" fontId="8" fillId="0" borderId="3" pivotButton="0" quotePrefix="0" xfId="4"/>
    <xf numFmtId="0" fontId="7" fillId="0" borderId="0" applyAlignment="1" pivotButton="0" quotePrefix="0" xfId="4">
      <alignment wrapText="1"/>
    </xf>
    <xf numFmtId="0" fontId="6" fillId="0" borderId="0" pivotButton="0" quotePrefix="0" xfId="4"/>
    <xf numFmtId="0" fontId="16" fillId="0" borderId="0" applyAlignment="1" pivotButton="0" quotePrefix="0" xfId="4">
      <alignment vertical="center" wrapText="1"/>
    </xf>
    <xf numFmtId="0" fontId="13" fillId="0" borderId="0" applyAlignment="1" pivotButton="0" quotePrefix="0" xfId="4">
      <alignment horizontal="center"/>
    </xf>
    <xf numFmtId="0" fontId="18" fillId="0" borderId="0" applyAlignment="1" pivotButton="0" quotePrefix="0" xfId="4">
      <alignment horizontal="center"/>
    </xf>
    <xf numFmtId="0" fontId="18" fillId="0" borderId="0" applyAlignment="1" pivotButton="0" quotePrefix="0" xfId="4">
      <alignment horizontal="left" vertical="center"/>
    </xf>
    <xf numFmtId="0" fontId="7" fillId="0" borderId="0" applyAlignment="1" pivotButton="0" quotePrefix="0" xfId="4">
      <alignment horizontal="center" vertical="center"/>
    </xf>
    <xf numFmtId="0" fontId="24" fillId="0" borderId="1" applyAlignment="1" pivotButton="0" quotePrefix="0" xfId="0">
      <alignment horizontal="center" vertical="center"/>
    </xf>
    <xf numFmtId="14" fontId="8" fillId="0" borderId="1" applyAlignment="1" pivotButton="0" quotePrefix="0" xfId="0">
      <alignment horizontal="center" vertical="center" wrapText="1"/>
    </xf>
    <xf numFmtId="0" fontId="25" fillId="0" borderId="1" applyAlignment="1" pivotButton="0" quotePrefix="0" xfId="1">
      <alignment horizontal="left" vertical="center" wrapText="1"/>
    </xf>
    <xf numFmtId="0" fontId="25" fillId="0" borderId="1" applyAlignment="1" pivotButton="0" quotePrefix="0" xfId="1">
      <alignment horizontal="center" vertical="center" wrapText="1"/>
    </xf>
    <xf numFmtId="0" fontId="8" fillId="0" borderId="1" applyAlignment="1" pivotButton="0" quotePrefix="0" xfId="0">
      <alignment horizontal="center" vertical="center" wrapText="1"/>
    </xf>
    <xf numFmtId="0" fontId="3" fillId="0" borderId="1" applyAlignment="1" pivotButton="0" quotePrefix="0" xfId="3">
      <alignment horizontal="center" vertical="center" wrapText="1"/>
    </xf>
    <xf numFmtId="0" fontId="25" fillId="0" borderId="1" applyAlignment="1" pivotButton="0" quotePrefix="0" xfId="0">
      <alignment horizontal="center" vertical="center"/>
    </xf>
    <xf numFmtId="0" fontId="26" fillId="0" borderId="1" applyAlignment="1" pivotButton="0" quotePrefix="0" xfId="2">
      <alignment horizontal="left" vertical="center" wrapText="1"/>
    </xf>
    <xf numFmtId="0" fontId="4" fillId="0" borderId="1" applyAlignment="1" pivotButton="0" quotePrefix="0" xfId="0">
      <alignment horizontal="center" vertical="center" wrapText="1"/>
    </xf>
    <xf numFmtId="0" fontId="28" fillId="0" borderId="1" applyAlignment="1" pivotButton="0" quotePrefix="0" xfId="0">
      <alignment horizontal="center" vertical="center" wrapText="1"/>
    </xf>
    <xf numFmtId="0" fontId="8" fillId="0" borderId="1" applyAlignment="1" pivotButton="0" quotePrefix="0" xfId="1">
      <alignment horizontal="center" vertical="center" wrapText="1"/>
    </xf>
    <xf numFmtId="0" fontId="27" fillId="0" borderId="1" applyAlignment="1" pivotButton="0" quotePrefix="0" xfId="2">
      <alignment horizontal="left" vertical="center" wrapText="1"/>
    </xf>
    <xf numFmtId="0" fontId="28" fillId="0" borderId="1" applyAlignment="1" pivotButton="0" quotePrefix="0" xfId="0">
      <alignment horizontal="left" vertical="center" wrapText="1"/>
    </xf>
    <xf numFmtId="0" fontId="26" fillId="0" borderId="1" applyAlignment="1" pivotButton="0" quotePrefix="0" xfId="2">
      <alignment horizontal="center" vertical="center" wrapText="1"/>
    </xf>
    <xf numFmtId="0" fontId="0" fillId="0" borderId="1" applyAlignment="1" pivotButton="0" quotePrefix="0" xfId="3">
      <alignment horizontal="center" vertical="center" wrapText="1"/>
    </xf>
    <xf numFmtId="0" fontId="29" fillId="0" borderId="0" pivotButton="0" quotePrefix="0" xfId="4"/>
    <xf numFmtId="0" fontId="29" fillId="0" borderId="0" applyAlignment="1" pivotButton="0" quotePrefix="0" xfId="4">
      <alignment horizontal="center" vertical="center"/>
    </xf>
    <xf numFmtId="0" fontId="29" fillId="0" borderId="0" applyAlignment="1" pivotButton="0" quotePrefix="0" xfId="4">
      <alignment horizontal="center" vertical="center" wrapText="1"/>
    </xf>
    <xf numFmtId="0" fontId="29" fillId="0" borderId="0" applyAlignment="1" pivotButton="0" quotePrefix="0" xfId="4">
      <alignment vertical="center"/>
    </xf>
    <xf numFmtId="0" fontId="29" fillId="0" borderId="3" applyAlignment="1" pivotButton="0" quotePrefix="0" xfId="4">
      <alignment vertical="center"/>
    </xf>
    <xf numFmtId="0" fontId="29" fillId="0" borderId="1" applyAlignment="1" pivotButton="0" quotePrefix="0" xfId="4">
      <alignment horizontal="center" vertical="center"/>
    </xf>
    <xf numFmtId="0" fontId="29" fillId="0" borderId="1" applyAlignment="1" pivotButton="0" quotePrefix="0" xfId="4">
      <alignment horizontal="center" vertical="center" wrapText="1"/>
    </xf>
    <xf numFmtId="0" fontId="29" fillId="0" borderId="1" applyAlignment="1" pivotButton="0" quotePrefix="0" xfId="4">
      <alignment vertical="center" wrapText="1"/>
    </xf>
    <xf numFmtId="0" fontId="29" fillId="4" borderId="0" pivotButton="0" quotePrefix="0" xfId="4"/>
    <xf numFmtId="0" fontId="29" fillId="5" borderId="0" pivotButton="0" quotePrefix="0" xfId="4"/>
    <xf numFmtId="0" fontId="31" fillId="0" borderId="1" applyAlignment="1" pivotButton="0" quotePrefix="0" xfId="4">
      <alignment horizontal="center" vertical="center"/>
    </xf>
    <xf numFmtId="0" fontId="31" fillId="0" borderId="1" applyAlignment="1" pivotButton="0" quotePrefix="0" xfId="4">
      <alignment horizontal="center" vertical="center" wrapText="1"/>
    </xf>
    <xf numFmtId="0" fontId="30" fillId="0" borderId="0" applyAlignment="1" pivotButton="0" quotePrefix="0" xfId="4">
      <alignment horizontal="center" vertical="center"/>
    </xf>
    <xf numFmtId="0" fontId="30" fillId="0" borderId="0" applyAlignment="1" pivotButton="0" quotePrefix="0" xfId="4">
      <alignment horizontal="center" vertical="center" wrapText="1"/>
    </xf>
    <xf numFmtId="0" fontId="30" fillId="0" borderId="0" applyAlignment="1" pivotButton="0" quotePrefix="0" xfId="4">
      <alignment vertical="center"/>
    </xf>
    <xf numFmtId="0" fontId="0" fillId="0" borderId="0" pivotButton="1" quotePrefix="0" xfId="0"/>
    <xf numFmtId="0" fontId="0" fillId="0" borderId="0" applyAlignment="1" pivotButton="0" quotePrefix="0" xfId="0">
      <alignment horizontal="left"/>
    </xf>
    <xf numFmtId="0" fontId="4" fillId="0" borderId="6" applyAlignment="1" pivotButton="0" quotePrefix="0" xfId="0">
      <alignment horizontal="center" vertical="center" wrapText="1"/>
    </xf>
    <xf numFmtId="0" fontId="8" fillId="0" borderId="6" applyAlignment="1" pivotButton="0" quotePrefix="0" xfId="0">
      <alignment horizontal="center" vertical="center" wrapText="1"/>
    </xf>
    <xf numFmtId="0" fontId="3" fillId="0" borderId="7" applyAlignment="1" pivotButton="0" quotePrefix="0" xfId="3">
      <alignment horizontal="center" vertical="center" wrapText="1"/>
    </xf>
    <xf numFmtId="0" fontId="0" fillId="0" borderId="7" applyAlignment="1" pivotButton="0" quotePrefix="0" xfId="3">
      <alignment horizontal="center" vertical="center" wrapText="1"/>
    </xf>
    <xf numFmtId="0" fontId="3" fillId="0" borderId="8" applyAlignment="1" pivotButton="0" quotePrefix="0" xfId="3">
      <alignment horizontal="center" vertical="center" wrapText="1"/>
    </xf>
    <xf numFmtId="0" fontId="5" fillId="0" borderId="6" applyAlignment="1" pivotButton="0" quotePrefix="0" xfId="1">
      <alignment horizontal="center" vertical="center" wrapText="1"/>
    </xf>
    <xf numFmtId="0" fontId="3" fillId="3" borderId="7" applyAlignment="1" pivotButton="0" quotePrefix="0" xfId="3">
      <alignment horizontal="center" vertical="center" wrapText="1"/>
    </xf>
    <xf numFmtId="0" fontId="0" fillId="3" borderId="7" applyAlignment="1" pivotButton="0" quotePrefix="0" xfId="3">
      <alignment horizontal="center" vertical="center" wrapText="1"/>
    </xf>
    <xf numFmtId="0" fontId="3" fillId="3" borderId="8" applyAlignment="1" pivotButton="0" quotePrefix="0" xfId="3">
      <alignment horizontal="center" vertical="center" wrapText="1"/>
    </xf>
    <xf numFmtId="0" fontId="33" fillId="0" borderId="0" applyAlignment="1" pivotButton="0" quotePrefix="0" xfId="4">
      <alignment horizontal="center" vertical="center" wrapText="1"/>
    </xf>
    <xf numFmtId="0" fontId="32" fillId="0" borderId="0" applyAlignment="1" pivotButton="0" quotePrefix="0" xfId="4">
      <alignment horizontal="center" vertical="center" wrapText="1"/>
    </xf>
    <xf numFmtId="0" fontId="33" fillId="0" borderId="0" applyAlignment="1" pivotButton="0" quotePrefix="0" xfId="4">
      <alignment horizontal="center"/>
    </xf>
    <xf numFmtId="0" fontId="30" fillId="0" borderId="6" applyAlignment="1" pivotButton="0" quotePrefix="0" xfId="4">
      <alignment horizontal="center" vertical="center"/>
    </xf>
    <xf numFmtId="0" fontId="30" fillId="0" borderId="4" applyAlignment="1" pivotButton="0" quotePrefix="0" xfId="4">
      <alignment horizontal="center" vertical="center"/>
    </xf>
    <xf numFmtId="0" fontId="30" fillId="0" borderId="5" applyAlignment="1" pivotButton="0" quotePrefix="0" xfId="4">
      <alignment horizontal="center" vertical="center"/>
    </xf>
    <xf numFmtId="0" fontId="30" fillId="6" borderId="6" applyAlignment="1" pivotButton="0" quotePrefix="0" xfId="4">
      <alignment horizontal="center" vertical="center"/>
    </xf>
    <xf numFmtId="0" fontId="30" fillId="6" borderId="4" applyAlignment="1" pivotButton="0" quotePrefix="0" xfId="4">
      <alignment horizontal="center" vertical="center"/>
    </xf>
    <xf numFmtId="0" fontId="30" fillId="6" borderId="5" applyAlignment="1" pivotButton="0" quotePrefix="0" xfId="4">
      <alignment horizontal="center" vertical="center"/>
    </xf>
    <xf numFmtId="0" fontId="16" fillId="0" borderId="0" applyAlignment="1" pivotButton="0" quotePrefix="0" xfId="4">
      <alignment horizontal="right" vertical="top" wrapText="1"/>
    </xf>
    <xf numFmtId="0" fontId="20" fillId="0" borderId="3" applyAlignment="1" pivotButton="0" quotePrefix="0" xfId="4">
      <alignment horizontal="left" vertical="center" wrapText="1"/>
    </xf>
    <xf numFmtId="0" fontId="19" fillId="0" borderId="3" applyAlignment="1" pivotButton="0" quotePrefix="0" xfId="4">
      <alignment horizontal="left" vertical="center" wrapText="1"/>
    </xf>
    <xf numFmtId="0" fontId="21" fillId="0" borderId="0" applyAlignment="1" pivotButton="0" quotePrefix="0" xfId="4">
      <alignment vertical="top" wrapText="1"/>
    </xf>
    <xf numFmtId="0" fontId="9" fillId="0" borderId="0" applyAlignment="1" pivotButton="0" quotePrefix="0" xfId="4">
      <alignment horizontal="center" vertical="center"/>
    </xf>
    <xf numFmtId="0" fontId="19" fillId="0" borderId="3" applyAlignment="1" pivotButton="0" quotePrefix="0" xfId="4">
      <alignment horizontal="left" wrapText="1"/>
    </xf>
    <xf numFmtId="0" fontId="9" fillId="0" borderId="0" applyAlignment="1" pivotButton="0" quotePrefix="0" xfId="4">
      <alignment horizontal="center" vertical="center" wrapText="1"/>
    </xf>
    <xf numFmtId="0" fontId="20" fillId="0" borderId="3" applyAlignment="1" pivotButton="0" quotePrefix="0" xfId="4">
      <alignment horizontal="left" wrapText="1"/>
    </xf>
    <xf numFmtId="0" fontId="11" fillId="0" borderId="0" applyAlignment="1" pivotButton="0" quotePrefix="0" xfId="4">
      <alignment horizontal="center" vertical="center"/>
    </xf>
    <xf numFmtId="0" fontId="19" fillId="0" borderId="3" applyAlignment="1" pivotButton="0" quotePrefix="0" xfId="4">
      <alignment horizontal="left" vertical="top" wrapText="1"/>
    </xf>
    <xf numFmtId="0" fontId="14" fillId="0" borderId="0" applyAlignment="1" pivotButton="0" quotePrefix="0" xfId="4">
      <alignment horizontal="center" vertical="center"/>
    </xf>
    <xf numFmtId="0" fontId="17" fillId="0" borderId="0" applyAlignment="1" pivotButton="0" quotePrefix="0" xfId="4">
      <alignment horizontal="center" vertical="center"/>
    </xf>
    <xf numFmtId="165" fontId="13" fillId="0" borderId="0" applyAlignment="1" pivotButton="0" quotePrefix="0" xfId="4">
      <alignment horizontal="center"/>
    </xf>
    <xf numFmtId="164" fontId="9" fillId="0" borderId="0" applyAlignment="1" pivotButton="0" quotePrefix="0" xfId="4">
      <alignment horizontal="center" vertical="center"/>
    </xf>
    <xf numFmtId="0" fontId="8" fillId="0" borderId="0" applyAlignment="1" pivotButton="0" quotePrefix="0" xfId="4">
      <alignment horizontal="left" wrapText="1"/>
    </xf>
    <xf numFmtId="0" fontId="10" fillId="0" borderId="3" applyAlignment="1" pivotButton="0" quotePrefix="0" xfId="4">
      <alignment horizontal="left" vertical="center" wrapText="1"/>
    </xf>
    <xf numFmtId="0" fontId="16" fillId="0" borderId="0" applyAlignment="1" pivotButton="0" quotePrefix="0" xfId="4">
      <alignment horizontal="center" vertical="center" wrapText="1"/>
    </xf>
    <xf numFmtId="0" fontId="9" fillId="0" borderId="2" applyAlignment="1" pivotButton="0" quotePrefix="0" xfId="4">
      <alignment horizontal="center" vertical="center" wrapText="1"/>
    </xf>
    <xf numFmtId="0" fontId="8" fillId="0" borderId="0" applyAlignment="1" pivotButton="0" quotePrefix="0" xfId="4">
      <alignment wrapText="1"/>
    </xf>
    <xf numFmtId="0" fontId="8" fillId="0" borderId="0" applyAlignment="1" pivotButton="0" quotePrefix="0" xfId="4">
      <alignment vertical="center" wrapText="1"/>
    </xf>
    <xf numFmtId="0" fontId="10" fillId="0" borderId="3" applyAlignment="1" pivotButton="0" quotePrefix="0" xfId="4">
      <alignment vertical="center" wrapText="1"/>
    </xf>
    <xf numFmtId="0" fontId="10" fillId="0" borderId="3" applyAlignment="1" pivotButton="0" quotePrefix="0" xfId="4">
      <alignment horizontal="center" wrapText="1"/>
    </xf>
    <xf numFmtId="0" fontId="15" fillId="0" borderId="3" applyAlignment="1" pivotButton="0" quotePrefix="0" xfId="4">
      <alignment horizontal="center" wrapText="1"/>
    </xf>
    <xf numFmtId="0" fontId="14" fillId="0" borderId="3" applyAlignment="1" pivotButton="0" quotePrefix="0" xfId="4">
      <alignment vertical="center" wrapText="1"/>
    </xf>
    <xf numFmtId="0" fontId="10" fillId="0" borderId="3" applyAlignment="1" pivotButton="0" quotePrefix="0" xfId="4">
      <alignment horizontal="left" wrapText="1"/>
    </xf>
    <xf numFmtId="0" fontId="10" fillId="0" borderId="3" applyAlignment="1" pivotButton="0" quotePrefix="0" xfId="4">
      <alignment horizontal="justify" vertical="center" wrapText="1"/>
    </xf>
    <xf numFmtId="0" fontId="8" fillId="0" borderId="0" applyAlignment="1" pivotButton="0" quotePrefix="0" xfId="4">
      <alignment horizontal="right" wrapText="1"/>
    </xf>
    <xf numFmtId="164" fontId="13" fillId="0" borderId="0" applyAlignment="1" pivotButton="0" quotePrefix="0" xfId="4">
      <alignment horizontal="right"/>
    </xf>
    <xf numFmtId="0" fontId="8" fillId="0" borderId="0" applyAlignment="1" pivotButton="0" quotePrefix="0" xfId="4">
      <alignment horizontal="right" vertical="center" wrapText="1"/>
    </xf>
    <xf numFmtId="0" fontId="10" fillId="0" borderId="3" applyAlignment="1" pivotButton="0" quotePrefix="0" xfId="4">
      <alignment horizontal="justify" wrapText="1"/>
    </xf>
    <xf numFmtId="166" fontId="9" fillId="0" borderId="0" applyAlignment="1" pivotButton="0" quotePrefix="0" xfId="5">
      <alignment horizontal="center" vertical="center" wrapText="1"/>
    </xf>
    <xf numFmtId="0" fontId="12" fillId="0" borderId="0" applyAlignment="1" pivotButton="0" quotePrefix="0" xfId="4">
      <alignment horizontal="center" vertical="center" wrapText="1"/>
    </xf>
    <xf numFmtId="0" fontId="8" fillId="0" borderId="3" applyAlignment="1" pivotButton="0" quotePrefix="0" xfId="4">
      <alignment horizontal="left" vertical="center"/>
    </xf>
    <xf numFmtId="0" fontId="12" fillId="0" borderId="3" applyAlignment="1" pivotButton="0" quotePrefix="1" xfId="4">
      <alignment horizontal="center" vertical="center"/>
    </xf>
    <xf numFmtId="0" fontId="12" fillId="0" borderId="3" applyAlignment="1" pivotButton="0" quotePrefix="0" xfId="4">
      <alignment horizontal="center" vertical="center"/>
    </xf>
    <xf numFmtId="0" fontId="8" fillId="0" borderId="3" applyAlignment="1" pivotButton="0" quotePrefix="0" xfId="4">
      <alignment vertical="center" wrapText="1"/>
    </xf>
    <xf numFmtId="0" fontId="8" fillId="0" borderId="4" applyAlignment="1" pivotButton="0" quotePrefix="0" xfId="4">
      <alignment vertical="center" wrapText="1"/>
    </xf>
    <xf numFmtId="0" fontId="8" fillId="0" borderId="2" applyAlignment="1" pivotButton="0" quotePrefix="0" xfId="4">
      <alignment vertical="center" wrapText="1"/>
    </xf>
    <xf numFmtId="0" fontId="8" fillId="0" borderId="0" applyAlignment="1" pivotButton="0" quotePrefix="0" xfId="4">
      <alignment horizontal="left" vertical="center" wrapText="1"/>
    </xf>
    <xf numFmtId="0" fontId="8" fillId="0" borderId="0" applyAlignment="1" pivotButton="0" quotePrefix="0" xfId="4">
      <alignment horizontal="left"/>
    </xf>
    <xf numFmtId="0" fontId="8" fillId="0" borderId="0" applyAlignment="1" pivotButton="0" quotePrefix="0" xfId="4">
      <alignment horizontal="left" vertical="center"/>
    </xf>
    <xf numFmtId="0" fontId="10" fillId="0" borderId="3" applyAlignment="1" pivotButton="0" quotePrefix="0" xfId="4">
      <alignment horizontal="center" vertical="center" wrapText="1"/>
    </xf>
    <xf numFmtId="0" fontId="8" fillId="0" borderId="0" applyAlignment="1" pivotButton="0" quotePrefix="0" xfId="4">
      <alignment vertical="center"/>
    </xf>
    <xf numFmtId="164" fontId="13" fillId="0" borderId="0" applyAlignment="1" pivotButton="0" quotePrefix="0" xfId="4">
      <alignment horizontal="center"/>
    </xf>
    <xf numFmtId="0" fontId="30" fillId="6" borderId="1" applyAlignment="1" pivotButton="0" quotePrefix="0" xfId="4">
      <alignment horizontal="center" vertical="center"/>
    </xf>
    <xf numFmtId="0" fontId="0" fillId="0" borderId="4" pivotButton="0" quotePrefix="0" xfId="0"/>
    <xf numFmtId="0" fontId="0" fillId="0" borderId="5" pivotButton="0" quotePrefix="0" xfId="0"/>
    <xf numFmtId="0" fontId="30" fillId="0" borderId="1" applyAlignment="1" pivotButton="0" quotePrefix="0" xfId="4">
      <alignment horizontal="center" vertical="center"/>
    </xf>
    <xf numFmtId="0" fontId="0" fillId="0" borderId="3" pivotButton="0" quotePrefix="0" xfId="0"/>
    <xf numFmtId="165" fontId="13" fillId="0" borderId="0" applyAlignment="1" pivotButton="0" quotePrefix="0" xfId="4">
      <alignment horizontal="center"/>
    </xf>
    <xf numFmtId="0" fontId="0" fillId="0" borderId="2" pivotButton="0" quotePrefix="0" xfId="0"/>
    <xf numFmtId="166" fontId="9" fillId="0" borderId="0" applyAlignment="1" pivotButton="0" quotePrefix="0" xfId="5">
      <alignment horizontal="center" vertical="center" wrapText="1"/>
    </xf>
  </cellXfs>
  <cellStyles count="7">
    <cellStyle name="Обычный" xfId="0" builtinId="0"/>
    <cellStyle name="Normal" xfId="1"/>
    <cellStyle name="Стиль 1" xfId="2"/>
    <cellStyle name="40% — акцент1" xfId="3" builtinId="31"/>
    <cellStyle name="Обычный 2" xfId="4"/>
    <cellStyle name="Денежный 2" xfId="5"/>
    <cellStyle name="Финансовый 2" xfId="6"/>
  </cellStyles>
  <dxfs count="29">
    <dxf>
      <font>
        <name val="Times New Roman"/>
        <charset val="204"/>
        <family val="1"/>
        <strike val="0"/>
        <outline val="0"/>
        <shadow val="0"/>
        <condense val="0"/>
        <color theme="1"/>
        <extend val="0"/>
        <sz val="10"/>
        <vertAlign val="baseline"/>
      </font>
      <alignment horizontal="center" vertical="center" wrapText="1"/>
      <border>
        <left style="thin">
          <color indexed="64"/>
        </left>
        <right/>
        <top style="thin">
          <color indexed="64"/>
        </top>
        <bottom style="thin">
          <color indexed="64"/>
        </bottom>
        <vertical/>
        <horizontal/>
      </border>
    </dxf>
    <dxf>
      <font>
        <name val="Times New Roman"/>
        <charset val="204"/>
        <family val="1"/>
        <strike val="0"/>
        <outline val="0"/>
        <shadow val="0"/>
        <condense val="0"/>
        <color theme="1"/>
        <extend val="0"/>
        <sz val="10"/>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theme="1"/>
        <extend val="0"/>
        <sz val="11"/>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theme="1"/>
        <extend val="0"/>
        <sz val="10"/>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theme="1"/>
        <extend val="0"/>
        <sz val="10"/>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theme="1"/>
        <extend val="0"/>
        <sz val="10"/>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indexed="8"/>
        <extend val="0"/>
        <sz val="10"/>
        <vertAlign val="baseline"/>
      </font>
      <alignment horizontal="left"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theme="1"/>
        <extend val="0"/>
        <sz val="10"/>
        <vertAlign val="baseline"/>
      </font>
      <numFmt numFmtId="19" formatCode="dd/mm/yyyy"/>
      <alignment horizontal="center" vertical="center"/>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theme="1"/>
        <extend val="0"/>
        <sz val="10"/>
        <vertAlign val="baseline"/>
      </font>
      <numFmt numFmtId="19" formatCode="dd/mm/yyyy"/>
      <alignment horizontal="center" vertical="center"/>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theme="1"/>
        <extend val="0"/>
        <sz val="10"/>
        <vertAlign val="baseline"/>
      </font>
      <numFmt numFmtId="19" formatCode="dd/mm/yyyy"/>
      <alignment horizontal="center" vertical="center"/>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0"/>
        <vertAlign val="baseline"/>
      </font>
      <alignment horizontal="center" vertical="center"/>
      <border>
        <left style="thin">
          <color indexed="64"/>
        </left>
        <right style="thin">
          <color indexed="64"/>
        </right>
        <top style="thin">
          <color indexed="64"/>
        </top>
        <bottom style="thin">
          <color indexed="64"/>
        </bottom>
        <vertical/>
        <horizontal/>
      </border>
    </dxf>
    <dxf>
      <border outline="0">
        <right style="thin">
          <color indexed="64"/>
        </right>
        <top style="thin">
          <color indexed="64"/>
        </top>
      </border>
    </dxf>
    <dxf>
      <font>
        <name val="Times New Roman"/>
        <charset val="204"/>
        <family val="1"/>
        <strike val="0"/>
        <outline val="0"/>
        <shadow val="0"/>
        <condense val="0"/>
        <color theme="1"/>
        <extend val="0"/>
        <sz val="10"/>
        <vertAlign val="baseline"/>
      </font>
      <alignment horizontal="center" vertical="center" wrapText="1"/>
    </dxf>
    <dxf>
      <border outline="0">
        <bottom style="thin">
          <color indexed="64"/>
        </bottom>
      </border>
    </dxf>
    <dxf>
      <numFmt numFmtId="0" formatCode="General"/>
      <fill>
        <patternFill>
          <fgColor indexed="64"/>
          <bgColor indexed="65"/>
        </patternFill>
      </fill>
      <alignment horizontal="center" vertical="center" wrapText="1"/>
      <border outline="0">
        <left style="thin">
          <color indexed="64"/>
        </left>
        <right style="thin">
          <color indexed="64"/>
        </right>
        <top/>
        <bottom/>
      </border>
    </dxf>
    <dxf>
      <font>
        <name val="Times New Roman"/>
        <charset val="204"/>
        <family val="1"/>
        <strike val="0"/>
        <outline val="0"/>
        <shadow val="0"/>
        <condense val="0"/>
        <color rgb="FF000000"/>
        <extend val="0"/>
        <sz val="10"/>
        <vertAlign val="baseline"/>
      </font>
      <alignment horizontal="center" vertical="center" wrapText="1"/>
      <border>
        <left style="thin">
          <color indexed="64"/>
        </left>
        <right/>
        <top style="thin">
          <color indexed="64"/>
        </top>
        <bottom style="thin">
          <color indexed="64"/>
        </bottom>
        <vertical/>
        <horizontal/>
      </border>
    </dxf>
    <dxf>
      <font>
        <name val="Times New Roman"/>
        <charset val="204"/>
        <family val="1"/>
        <strike val="0"/>
        <outline val="0"/>
        <shadow val="0"/>
        <condense val="0"/>
        <color auto="1"/>
        <extend val="0"/>
        <sz val="10"/>
        <vertAlign val="baseline"/>
      </font>
      <alignment horizontal="left"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1"/>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0"/>
        <vertAlign val="baseline"/>
      </font>
      <alignment horizontal="left"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0"/>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0"/>
        <vertAlign val="baseline"/>
      </font>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0"/>
        <vertAlign val="baseline"/>
      </font>
      <alignment horizontal="left"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1"/>
        <vertAlign val="baseline"/>
      </font>
      <numFmt numFmtId="19" formatCode="dd/mm/yyyy"/>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1"/>
        <vertAlign val="baseline"/>
      </font>
      <numFmt numFmtId="19" formatCode="dd/mm/yyyy"/>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strike val="0"/>
        <outline val="0"/>
        <shadow val="0"/>
        <condense val="0"/>
        <color auto="1"/>
        <extend val="0"/>
        <sz val="11"/>
        <vertAlign val="baseline"/>
      </font>
      <numFmt numFmtId="19" formatCode="dd/mm/yyyy"/>
      <alignment horizontal="center" vertical="center" wrapText="1"/>
      <border>
        <left style="thin">
          <color indexed="64"/>
        </left>
        <right style="thin">
          <color indexed="64"/>
        </right>
        <top style="thin">
          <color indexed="64"/>
        </top>
        <bottom style="thin">
          <color indexed="64"/>
        </bottom>
        <vertical/>
        <horizontal/>
      </border>
    </dxf>
    <dxf>
      <font>
        <name val="Times New Roman"/>
        <charset val="204"/>
        <family val="1"/>
        <b val="1"/>
        <strike val="0"/>
        <outline val="0"/>
        <shadow val="0"/>
        <condense val="0"/>
        <color auto="1"/>
        <extend val="0"/>
        <sz val="10"/>
        <vertAlign val="baseline"/>
      </font>
      <alignment horizontal="center" vertical="center"/>
      <border>
        <left style="thin">
          <color indexed="64"/>
        </left>
        <right style="thin">
          <color indexed="64"/>
        </right>
        <top style="thin">
          <color indexed="64"/>
        </top>
        <bottom style="thin">
          <color indexed="64"/>
        </bottom>
        <vertical/>
        <horizontal/>
      </border>
    </dxf>
    <dxf>
      <border outline="0">
        <right style="thin">
          <color indexed="64"/>
        </right>
        <top style="thin">
          <color indexed="64"/>
        </top>
      </border>
    </dxf>
    <dxf>
      <border outline="0">
        <bottom style="thin">
          <color indexed="64"/>
        </bottom>
      </border>
    </dxf>
    <dxf>
      <numFmt numFmtId="0" formatCode="General"/>
      <fill>
        <patternFill patternType="solid">
          <fgColor indexed="64"/>
          <bgColor theme="8" tint="0.5999938962981048"/>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pivotCacheDefinition" Target="/xl/pivotCache/pivotCacheDefinition1.xml" Id="rId10" /><Relationship Type="http://schemas.openxmlformats.org/officeDocument/2006/relationships/styles" Target="styles.xml" Id="rId11" /><Relationship Type="http://schemas.openxmlformats.org/officeDocument/2006/relationships/theme" Target="theme/theme1.xml" Id="rId12" /></Relationships>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GregoryReyn" refreshedDate="45076.71974189815" createdVersion="8" refreshedVersion="8" minRefreshableVersion="3" recordCount="31" r:id="rId1">
  <cacheSource type="worksheet">
    <worksheetSource ref="A1:L32" sheet="БД"/>
  </cacheSource>
  <cacheFields count="12">
    <cacheField name="ИД" uniqueList="1" numFmtId="0" sqlType="0" hierarchy="0" level="0" databaseField="1">
      <sharedItems count="0" containsBlank="1"/>
    </cacheField>
    <cacheField name="№ акта" uniqueList="1" numFmtId="0" sqlType="0" hierarchy="0" level="0" databaseField="1">
      <sharedItems count="31">
        <s v="Л-1"/>
        <s v="Л-2"/>
        <s v="Л-3"/>
        <s v="Л-4"/>
        <s v="Л-5"/>
        <s v="Л-6"/>
        <s v="Л-7"/>
        <s v="Л-8"/>
        <s v="Л-9"/>
        <s v="Л-10"/>
        <s v="Л-11"/>
        <s v="Л-12"/>
        <s v="Л-13"/>
        <s v="Л-14"/>
        <s v="Л-15"/>
        <s v="Л-16"/>
        <s v="Л-17"/>
        <s v="Л-18"/>
        <s v="Л-19"/>
        <s v="Л-20"/>
        <s v="Л-21"/>
        <s v="Л-22"/>
        <s v="Л-23"/>
        <s v="Л-24"/>
        <s v="Л-25"/>
        <s v="Л-26"/>
        <s v="Л-27"/>
        <s v="Л-28"/>
        <s v="Л-29"/>
        <s v="Л-30"/>
        <s v="Л-31"/>
      </sharedItems>
    </cacheField>
    <cacheField name="дата акта" uniqueList="1" numFmtId="14" sqlType="0" hierarchy="0" level="0" databaseField="1">
      <sharedItems count="0" containsDate="1" containsNonDate="0" containsSemiMixedTypes="0" containsString="0" minDate="2022-12-02T00:00:00" maxDate="2023-05-16T00:00:00"/>
    </cacheField>
    <cacheField name="5. Дата начала" uniqueList="1" numFmtId="14" sqlType="0" hierarchy="0" level="0" databaseField="1">
      <sharedItems count="0" containsDate="1" containsNonDate="0" containsSemiMixedTypes="0" containsString="0" minDate="2022-11-01T00:00:00" maxDate="2023-04-15T00:00:00"/>
    </cacheField>
    <cacheField name="5. Дата окончания" uniqueList="1" numFmtId="14" sqlType="0" hierarchy="0" level="0" databaseField="1">
      <sharedItems count="0" containsDate="1" containsNonDate="0" containsSemiMixedTypes="0" containsString="0" minDate="2022-12-02T00:00:00" maxDate="2023-05-16T00:00:00"/>
    </cacheField>
    <cacheField name="1. К освидетельствованию предъявлены следующие работы:" uniqueList="1" numFmtId="0" sqlType="0" hierarchy="0" level="0" databaseField="1">
      <sharedItems count="0"/>
    </cacheField>
    <cacheField name="2. Работы выполнены по проектной документации: " uniqueList="1" numFmtId="0" sqlType="0" hierarchy="0" level="0" databaseField="1">
      <sharedItems count="0"/>
    </cacheField>
    <cacheField name="3. При выполнении работ применены:" uniqueList="1" numFmtId="0" sqlType="0" hierarchy="0" level="0" databaseField="1">
      <sharedItems count="0"/>
    </cacheField>
    <cacheField name="4. Предъявлены документы" uniqueList="1" numFmtId="0" sqlType="0" hierarchy="0" level="0" databaseField="1">
      <sharedItems count="31">
        <s v="Исполнительная схема на устройство лестницы в осях 43-45/К-П с отметки -0.700 до -0.100"/>
        <s v="Исполнительная схема на устройство лестницы в осях 43-45/К-П с отметки -0.100 до +3.800"/>
        <s v="Исполнительная схема на устройство лестницы в осях 43-45/К-П с отметки +3.800 до +7.700"/>
        <s v="Исполнительная схема на устройство лестницы в осях 43-45/К-П с отметки +7.700 до +11.600"/>
        <s v="Исполнительная схема на устройство лестницы в осях 43-45/К-П с отметки +11.600 до +15.500"/>
        <s v="Исполнительная схема на устройство лестницы в осях 4-6/К-П  с отметки -0.700 до -0.100"/>
        <s v="Исполнительная схема на устройство лестницы в осях 4-6/К-П с отметки -0.700 до +3.800"/>
        <s v="Исполнительная схема на устройство лестницы в осях 4-6/К-П с отметки +3.800 до +7.700"/>
        <s v="Исполнительная схема на устройство лестницы в осях 4-6/К-П с отметки +7.700 до +11.600"/>
        <s v="Исполнительная схема на устройство лестницы в осях 4-6/К-П с отметки +11.600 до +15.500"/>
        <s v="Исполнительная схема на устройство лестницы в осях 18-20/А-Г с отметки -0.100 до +3.800"/>
        <s v="Исполнительная схема на устройство лестницы в осях 18-20/А-Г с отметки +3.800 до +7.700"/>
        <s v="Исполнительная схема на устройство лестницы в осях 18-20/А-Г с отметки +7.700 до +11.600"/>
        <s v="Исполнительная схема на устройство лестницы в осях 26-28/А-Г с отметки -0.100 до +3.800"/>
        <s v="Исполнительная схема на устройство лестницы в осях 26-28/А-Г с отметки +3.800 до +7.700"/>
        <s v="Исполнительная схема на устройство лестницы в осях 26-28/А-Г с отметки +7.700 до +11.600"/>
        <s v="Исполнительная схема на устройство лестницы в осях 11-14/И-Л с отметки -0.700 до -0.100"/>
        <s v="Исполнительная схема на устройство лестницы в осях 11-14/И-Л с отметки -0.100 до +3.800"/>
        <s v="Исполнительная схема на устройство лестницы в осях 11-14/И-Л с отметки +3.800 до +7.700"/>
        <s v="Исполнительная схема на устройство лестницы в осях 11-14/И-Л _x000a_с отметки +7.700 до +11.600"/>
        <s v="Исполнительная схема на устройство лестницы в осях 11-14/И-Л с отметки +11.600 до +15.500"/>
        <s v="Исполнительная схема на устройство лестницы в осях 33-38/И-Л с отметки -0.700 до -0.100"/>
        <s v="Исполнительная схема на устройство лестницы в осях 33-38/И-Л с отметки -0.100 до +3.800"/>
        <s v="Исполнительная схема на устройство лестницы в осях 33-38/И-Л с отметки +3.800 до +7.700"/>
        <s v="Исполнительная схема на устройство лестницы в осях 33-38/И-Л с отметки +7.700 до +11.600"/>
        <s v="Исполнительная схема на устройство лестницы в осях 33-38/И-Л с отметки +11.600 до +15.500"/>
        <s v="Исполнительная схема на устройство лестницы в осях 34-36/ГГ-ДД с отметки -0.700 до -0.100"/>
        <s v="Исполнительная схема на устройство лестницы в осях 34-36/ГГ-ДД с отметки -0.100 до +3.800"/>
        <s v="Исполнительная схема на устройство лестницы в осях 34-36/ГГ-ДД с отметки +3.800 до +7.700"/>
        <s v="Исполнительная схема на устройство лестницы в осях 34-36/ГГ-ДД с отметки +7.700 до +11.600"/>
        <s v="Исполнительная схема на устройство лестницы в осях 34-36/ГГ-ДД с отметки +11.600 до +15.500"/>
      </sharedItems>
    </cacheField>
    <cacheField name="6. Работы выполнены в соответствии с" uniqueList="1" numFmtId="0" sqlType="0" hierarchy="0" level="0" databaseField="1">
      <sharedItems count="0"/>
    </cacheField>
    <cacheField name="7. Разрешается производство последующих работ по" uniqueList="1" numFmtId="0" sqlType="0" hierarchy="0" level="0" databaseField="1">
      <sharedItems count="0"/>
    </cacheField>
    <cacheField name="Приложения" uniqueList="1" numFmtId="0" sqlType="0" hierarchy="0" level="0" databaseField="1">
      <sharedItems count="0" containsBlank="1"/>
    </cacheField>
  </cacheFields>
</pivotCacheDefinition>
</file>

<file path=xl/pivotCache/pivotCacheRecords1.xml><?xml version="1.0" encoding="utf-8"?>
<pivotCacheRecords xmlns="http://schemas.openxmlformats.org/spreadsheetml/2006/main" count="31">
  <r>
    <s v="ИД"/>
    <x v="0"/>
    <d v="2023-05-13T00:00:00"/>
    <d v="2023-04-11T00:00:00"/>
    <d v="2023-05-13T00:00:00"/>
    <s v="Бетонирование лестниц в осях 43-45/К-П с отметки -0.700 до -0.100"/>
    <s v="Шифр: 62-АБД-КЖ2 ООО «МОСРЕГИОНПРОЕКТ»"/>
    <s v="Бетонная смесь БСТ В25 П4 F150 W6 ГОСТ 7473-2010  Документы о качестве №4238, №4239, №4240, №4241, №4242, №4245, №4246,  От 11.04.2023г."/>
    <x v="0"/>
    <s v="СП 70.13330.2012 Несущие и ограждающие конструкции. (Актуализированная редакция СНиП 3.03.01-87)"/>
    <s v="Бетонная смесь БСТ В25 П4 F150 W6 ГОСТ 7473-2010  Документы о качестве №4238, №4239, №4240, №4241, №4242, №4245, №4246,  От 11.04.2023г."/>
    <s v="Исполнительная схема на устройство лестницы в осях 43-45/К-П с отметки -0.700 до -0.100"/>
  </r>
  <r>
    <m/>
    <x v="1"/>
    <d v="2023-03-04T00:00:00"/>
    <d v="2023-02-02T00:00:00"/>
    <d v="2023-03-04T00:00:00"/>
    <s v="Бетонирование лестниц в осях 43-45/К-П с отметки -0.100 до +3.800"/>
    <s v="Шифр: 62-АБД-КЖ2 ООО «МОСРЕГИОНПРОЕКТ»"/>
    <s v="Бетонная смесь БСТ В25 П4 F50 W6 ГОСТ 7473-2010  Документы о качестве №860,  №850, №853, №858, №868  От 02.02.2023г."/>
    <x v="1"/>
    <s v="СП 70.13330.2012 Несущие и ограждающие конструкции. (Актуализированная редакция СНиП 3.03.01-87)"/>
    <s v="Бетонная смесь БСТ В25 П4 F50 W6 ГОСТ 7473-2010  Документы о качестве №860,  №850, №853, №858, №868  От 02.02.2023г."/>
    <m/>
  </r>
  <r>
    <m/>
    <x v="2"/>
    <d v="2023-03-28T00:00:00"/>
    <d v="2023-02-26T00:00:00"/>
    <d v="2023-03-28T00:00:00"/>
    <s v="Бетонирование лестниц в осях 43-45/К-П с отметки +3.800 до +7.700"/>
    <s v="Шифр: 62-АБД-КЖ2 ООО «МОСРЕГИОНПРОЕКТ»"/>
    <s v="Бетонная смесь БСТ В25 П4 F50 W6 ГОСТ 7473-2010  Документы о качестве №1684, №1685, №1686,№ 1687, №1688, №1689, №1690, №1691, №1697, №1699, №1701, №1714   От 26.02.2023г."/>
    <x v="2"/>
    <s v="СП 70.13330.2012 Несущие и ограждающие конструкции. (Актуализированная редакция СНиП 3.03.01-87)"/>
    <s v="Бетонная смесь БСТ В25 П4 F50 W6 ГОСТ 7473-2010  Документы о качестве №1684, №1685, №1686,№ 1687, №1688, №1689, №1690, №1691, №1697, №1699, №1701, №1714   От 26.02.2023г."/>
    <m/>
  </r>
  <r>
    <m/>
    <x v="3"/>
    <d v="2023-04-26T00:00:00"/>
    <d v="2023-03-25T00:00:00"/>
    <d v="2023-04-26T00:00:00"/>
    <s v="Бетонирование лестниц в осях 43-45/К-П с отметки +7.700 до +11.600"/>
    <s v="Шифр: 62-АБД-КЖ2 ООО «МОСРЕГИОНПРОЕКТ»"/>
    <s v="Бетонная смесь БСТ В25 П4 F50 W6 ГОСТ 7473-2010  Документы о качестве №3310, №3317, №3299,  От 25.03.2023г."/>
    <x v="3"/>
    <s v="СП 70.13330.2012 Несущие и ограждающие конструкции. (Актуализированная редакция СНиП 3.03.01-87)"/>
    <s v="Бетонная смесь БСТ В25 П4 F50 W6 ГОСТ 7473-2010  Документы о качестве №3310, №3317, №3299,  От 25.03.2023г."/>
    <m/>
  </r>
  <r>
    <m/>
    <x v="4"/>
    <d v="2023-05-06T00:00:00"/>
    <d v="2023-04-07T00:00:00"/>
    <d v="2023-05-06T00:00:00"/>
    <s v="Бетонирование лестниц в осях 43-45/К-П с отметки +11.600 до +15.500"/>
    <s v="Шифр: 62-АБД-КЖ2 ООО «МОСРЕГИОНПРОЕКТ»"/>
    <s v="Бетонная смесь БСТ В25 П4 F50 W6 ГОСТ 7473-2010  Документы о качестве №4036, № 4051  От 07.04.2023"/>
    <x v="4"/>
    <s v="СП 70.13330.2012 Несущие и ограждающие конструкции. (Актуализированная редакция СНиП 3.03.01-87)"/>
    <s v="Бетонная смесь БСТ В25 П4 F50 W6 ГОСТ 7473-2010  Документы о качестве №4036, № 4051  От 07.04.2023"/>
    <m/>
  </r>
  <r>
    <m/>
    <x v="5"/>
    <d v="2023-04-13T00:00:00"/>
    <d v="2023-03-15T00:00:00"/>
    <d v="2023-04-13T00:00:00"/>
    <s v="Бетонирование лестниц в осях 4-6/К-П  с отметки -0.700 до -0.100"/>
    <s v="Шифр: 62-АБД-КЖ2 ООО «МОСРЕГИОНПРОЕКТ»"/>
    <s v="Бетонная смесь БСТ В25 П4 F50 W6 ГОСТ 7473-2010  Документы о качестве №2629  От 15.03.2023г."/>
    <x v="5"/>
    <s v="СП 70.13330.2012 Несущие и ограждающие конструкции. (Актуализированная редакция СНиП 3.03.01-87)"/>
    <s v="Бетонная смесь БСТ В25 П4 F50 W6 ГОСТ 7473-2010  Документы о качестве №2629  От 15.03.2023г."/>
    <m/>
  </r>
  <r>
    <m/>
    <x v="6"/>
    <d v="2022-12-08T00:00:00"/>
    <d v="2022-11-07T00:00:00"/>
    <d v="2022-12-08T00:00:00"/>
    <s v="Бетонирование лестниц в осях 4-6/К-П с отметки  -0.100 до +3.800"/>
    <s v="Шифр: 62-АБД-КЖ2 ООО «МОСРЕГИОНПРОЕКТ»"/>
    <s v="Бетонная смесь БСТ В25 П4 F50 W6 ГОСТ 7473-2010  Документы о качестве №2874,№2875,№2873, №2876, №2878  От 07.11.2022"/>
    <x v="6"/>
    <s v="СП 70.13330.2012 Несущие и ограждающие конструкции. (Актуализированная редакция СНиП 3.03.01-87)"/>
    <s v="Бетонная смесь БСТ В25 П4 F50 W6 ГОСТ 7473-2010  Документы о качестве №2874,№2875,№2873, №2876, №2878  От 07.11.2022"/>
    <m/>
  </r>
  <r>
    <m/>
    <x v="7"/>
    <d v="2022-12-27T00:00:00"/>
    <d v="2022-11-30T00:00:00"/>
    <d v="2022-12-27T00:00:00"/>
    <s v="Бетонирование лестниц в осях 4-6/К-П с отметки +3.800 до +7.700"/>
    <s v="Шифр: 62-АБД-КЖ2 ООО «МОСРЕГИОНПРОЕКТ»"/>
    <s v="Бетонная смесь БСТ В25 П4 F100 W10 ГОСТ 7473-2010  Документы о качестве № 18193, №18200  От 30.11.2022г."/>
    <x v="7"/>
    <s v="СП 70.13330.2012 Несущие и ограждающие конструкции. (Актуализированная редакция СНиП 3.03.01-87)"/>
    <s v="Бетонная смесь БСТ В25 П4 F100 W10 ГОСТ 7473-2010  Документы о качестве № 18193, №18200  От 30.11.2022г."/>
    <m/>
  </r>
  <r>
    <m/>
    <x v="8"/>
    <d v="2023-02-19T00:00:00"/>
    <d v="2023-01-21T00:00:00"/>
    <d v="2023-02-19T00:00:00"/>
    <s v="Бетонирование лестниц в осях 4-6/К-П с отметки +7.700 до +11.600"/>
    <s v="Шифр: 62-АБД-КЖ2 ООО «МОСРЕГИОНПРОЕКТ»"/>
    <s v="Бетонная смесь БСТ В25 П4 F50 W6 ГОСТ 7473-2010  Документы о качестве №346, №349, №351, №352, №353, №354, №356, №357,№259, №360  От 21.01.2023г."/>
    <x v="8"/>
    <s v="СП 70.13330.2012 Несущие и ограждающие конструкции. (Актуализированная редакция СНиП 3.03.01-87)"/>
    <s v="Бетонная смесь БСТ В25 П4 F50 W6 ГОСТ 7473-2010  Документы о качестве №346, №349, №351, №352, №353, №354, №356, №357,№259, №360  От 21.01.2023г."/>
    <m/>
  </r>
  <r>
    <m/>
    <x v="9"/>
    <d v="2023-02-13T00:00:00"/>
    <d v="2023-02-13T00:00:00"/>
    <d v="2023-02-13T00:00:00"/>
    <s v="Бетонирование лестниц в осях 4-6/К-П с отметки +11.600 до +15.500"/>
    <s v="Шифр: 62-АБД-КЖ2 ООО «МОСРЕГИОНПРОЕКТ»"/>
    <s v="Бетонная смесь БСТ В25 П4 F50 W6 ГОСТ 7473-2010  Документы о качестве №133 От 13.02.2023г."/>
    <x v="9"/>
    <s v="СП 70.13330.2012 Несущие и ограждающие конструкции. (Актуализированная редакция СНиП 3.03.01-87)"/>
    <s v="Бетонная смесь БСТ В25 П4 F50 W6 ГОСТ 7473-2010  Документы о качестве №133 От 13.02.2023г."/>
    <m/>
  </r>
  <r>
    <m/>
    <x v="10"/>
    <d v="2022-12-05T00:00:00"/>
    <d v="2022-12-05T00:00:00"/>
    <d v="2022-12-05T00:00:00"/>
    <s v="Бетонирование лестниц в осях 18-20/А-Г с отметки -0.100 до +3.800"/>
    <s v="Шифр: 62-АБД-КЖ2 ООО «МОСРЕГИОНПРОЕКТ»"/>
    <s v="Бетонная смесь БСТ В25 П4 F100 W10 ГОСТ 7473-2010  Документы о качестве №18422, №18428  От 05.12.2022г."/>
    <x v="10"/>
    <s v="СП 70.13330.2012 Несущие и ограждающие конструкции. (Актуализированная редакция СНиП 3.03.01-87)"/>
    <s v="Бетонная смесь БСТ В25 П4 F100 W10 ГОСТ 7473-2010  Документы о качестве №18422, №18428  От 05.12.2022г."/>
    <m/>
  </r>
  <r>
    <m/>
    <x v="11"/>
    <d v="2023-02-14T00:00:00"/>
    <d v="2023-02-17T00:00:00"/>
    <d v="2023-02-14T00:00:00"/>
    <s v="Бетонирование лестниц в осях 18-20/А-Г с отметки +3.800 до +7.700"/>
    <s v="Шифр: 62-АБД-КЖ2 ООО «МОСРЕГИОНПРОЕКТ»"/>
    <s v="Бетонная смесь БСТ В25 П4 F50 W6 ГОСТ 7473-2010  Документы о качестве №1411, №1410, №1412, №1413, №1415, №1420,№1425, №1423, №1427, №1437, №1433, №1435,№1438, №1441, №1443, №1445, №1449, №1458  От 17.02.2023г."/>
    <x v="11"/>
    <s v="СП 70.13330.2012 Несущие и ограждающие конструкции. (Актуализированная редакция СНиП 3.03.01-87)"/>
    <s v="Бетонная смесь БСТ В25 П4 F50 W6 ГОСТ 7473-2010  Документы о качестве №1411, №1410, №1412, №1413, №1415, №1420,№1425, №1423, №1427, №1437, №1433, №1435,№1438, №1441, №1443, №1445, №1449, №1458  От 17.02.2023г."/>
    <m/>
  </r>
  <r>
    <m/>
    <x v="12"/>
    <d v="2023-03-17T00:00:00"/>
    <d v="2023-03-17T00:00:00"/>
    <d v="2023-03-17T00:00:00"/>
    <s v="Бетонирование лестниц в осях 18-20/А-Г с отметки +7.700 до +11.600"/>
    <s v="Шифр: 62-АБД-КЖ2 ООО «МОСРЕГИОНПРОЕКТ»"/>
    <s v="Бетонная смесь БСТ В25 П4 F50 W6 ГОСТ 7473-2010  Документы о качестве №2780, №2774, №2775, №2759, №2758, №2756, №2720, №2690, №2666, №2667, №2664, №2663, №2660, №2662, №2661  От 17.03.2023г."/>
    <x v="12"/>
    <s v="СП 70.13330.2012 Несущие и ограждающие конструкции. (Актуализированная редакция СНиП 3.03.01-87)"/>
    <s v="Бетонная смесь БСТ В25 П4 F50 W6 ГОСТ 7473-2010  Документы о качестве №2780, №2774, №2775, №2759, №2758, №2756, №2720, №2690, №2666, №2667, №2664, №2663, №2660, №2662, №2661  От 17.03.2023г."/>
    <m/>
  </r>
  <r>
    <m/>
    <x v="13"/>
    <d v="2023-01-19T00:00:00"/>
    <d v="2022-12-16T00:00:00"/>
    <d v="2023-01-19T00:00:00"/>
    <s v="Бетонирование лестниц в осях 26-28/А-Г с отметки -0.100 до +3.800"/>
    <s v="Шифр: 62-АБД-КЖ2 ООО «МОСРЕГИОНПРОЕКТ»"/>
    <s v="Бетонная смесь БСТ В25 П4 F100 W10 ГОСТ 7473-2010  Документы о качестве №18830, №18832  От16.12.2022г."/>
    <x v="13"/>
    <s v="СП 70.13330.2012 Несущие и ограждающие конструкции. (Актуализированная редакция СНиП 3.03.01-87)"/>
    <s v="Бетонная смесь БСТ В25 П4 F100 W10 ГОСТ 7473-2010  Документы о качестве №18830, №18832  От16.12.2022г."/>
    <m/>
  </r>
  <r>
    <m/>
    <x v="14"/>
    <d v="2023-02-21T00:00:00"/>
    <d v="2023-01-24T00:00:00"/>
    <d v="2023-02-21T00:00:00"/>
    <s v="Бетонирование лестниц в осях 26-28/А-Г с отметки +3.800 до +7.700"/>
    <s v="Шифр: 62-АБД-КЖ2 ООО «МОСРЕГИОНПРОЕКТ»"/>
    <s v="Бетонная смесь БСТ В25 П4 F50 W6 ГОСТ 7473-2010  Документы о качестве №433, №438, №447, №461  От 24.01.2023г."/>
    <x v="14"/>
    <s v="СП 70.13330.2012 Несущие и ограждающие конструкции. (Актуализированная редакция СНиП 3.03.01-87)"/>
    <s v="Бетонная смесь БСТ В25 П4 F50 W6 ГОСТ 7473-2010  Документы о качестве №433, №438, №447, №461  От 24.01.2023г."/>
    <m/>
  </r>
  <r>
    <m/>
    <x v="15"/>
    <d v="2023-03-19T00:00:00"/>
    <d v="2023-02-20T00:00:00"/>
    <d v="2023-03-19T00:00:00"/>
    <s v="Бетонирование лестниц в осях 26-28/А-Г с отметки +7.700 до +11.600"/>
    <s v="Шифр: 62-АБД-КЖ2 ООО «МОСРЕГИОНПРОЕКТ»"/>
    <s v="Бетонная смесь БСТ В25 П4 F50 W6 ГОСТ 7473-2010  Документы о качестве №1553,№1545, №1544, №1542, 31538, №1537, №1533, №1531, №1532, №1534, №1535  От 20.02.2023г."/>
    <x v="15"/>
    <s v="СП 70.13330.2012 Несущие и ограждающие конструкции. (Актуализированная редакция СНиП 3.03.01-87)"/>
    <s v="Бетонная смесь БСТ В25 П4 F50 W6 ГОСТ 7473-2010  Документы о качестве №1553,№1545, №1544, №1542, 31538, №1537, №1533, №1531, №1532, №1534, №1535  От 20.02.2023г."/>
    <m/>
  </r>
  <r>
    <m/>
    <x v="16"/>
    <d v="2023-01-10T00:00:00"/>
    <d v="2022-12-09T00:00:00"/>
    <d v="2023-01-10T00:00:00"/>
    <s v="Бетонирование лестниц в осях 11-14/И-Л с отметки -0.700 до -0.100"/>
    <s v="Шифр: 62-АБД-КЖ2 ООО «МОСРЕГИОНПРОЕКТ»"/>
    <s v="Бетонная смесь БСТ В25 П4 F50 W6 ГОСТ 7473-2010  Документы о качестве №18577, №18578  От 09.12.2022г."/>
    <x v="16"/>
    <s v="СП 70.13330.2012 Несущие и ограждающие конструкции. (Актуализированная редакция СНиП 3.03.01-87)"/>
    <s v="Бетонная смесь БСТ В25 П4 F50 W6 ГОСТ 7473-2010  Документы о качестве №18577, №18578  От 09.12.2022г."/>
    <m/>
  </r>
  <r>
    <m/>
    <x v="17"/>
    <d v="2023-02-10T00:00:00"/>
    <d v="2023-01-13T00:00:00"/>
    <d v="2023-02-10T00:00:00"/>
    <s v="Бетонирование лестниц в осях 11-14/И-Л с отметки -0.100 до +3.800"/>
    <s v="Шифр: 62-АБД-КЖ2 ООО «МОСРЕГИОНПРОЕКТ»"/>
    <s v="Бетонная смесь БСТ В25 П4 F50 W6 ГОСТ 7473-2010  Документы о качестве №76, №77, №78, №79, №81, №82, №84, №88, №89, №90, №91, №96, №97,№99, №100, №101, №104, №105  От 13.01.2023г."/>
    <x v="17"/>
    <s v="СП 70.13330.2012 Несущие и ограждающие конструкции. (Актуализированная редакция СНиП 3.03.01-87)"/>
    <s v="Бетонная смесь БСТ В25 П4 F50 W6 ГОСТ 7473-2010  Документы о качестве №76, №77, №78, №79, №81, №82, №84, №88, №89, №90, №91, №96, №97,№99, №100, №101, №104, №105  От 13.01.2023г."/>
    <m/>
  </r>
  <r>
    <m/>
    <x v="18"/>
    <d v="2023-03-12T00:00:00"/>
    <d v="2023-02-15T00:00:00"/>
    <d v="2023-03-12T00:00:00"/>
    <s v="Бетонирование лестниц в осях 11-14/И-Л с отметки +3.800 до +7.700"/>
    <s v="Шифр: 62-АБД-КЖ2 ООО «МОСРЕГИОНПРОЕКТ»"/>
    <s v="Бетонная смесь БСТ В25 П4 F50 W6 ГОСТ 7473-2010  Документы о качестве №1359, №1361, 1365 От 15.02.2023г."/>
    <x v="18"/>
    <s v="СП 70.13330.2012 Несущие и ограждающие конструкции. (Актуализированная редакция СНиП 3.03.01-87)"/>
    <s v="Бетонная смесь БСТ В25 П4 F50 W6 ГОСТ 7473-2010  Документы о качестве №1359, №1361, 1365 От 15.02.2023г."/>
    <m/>
  </r>
  <r>
    <m/>
    <x v="19"/>
    <d v="2023-04-07T00:00:00"/>
    <d v="2023-03-06T00:00:00"/>
    <d v="2023-04-07T00:00:00"/>
    <s v="Бетонирование лестниц в осях 11-14/И-Л с отметки +7.700 до +11.600"/>
    <s v="Шифр: 62-АБД-КЖ2 ООО «МОСРЕГИОНПРОЕКТ»"/>
    <s v="Бетонная смесь БСТ В25 П4 F50 W6 ГОСТ 7473-2010  Документы о качестве №2118, №2114  От 06.03.2023г."/>
    <x v="19"/>
    <s v="СП 70.13330.2012 Несущие и ограждающие конструкции. (Актуализированная редакция СНиП 3.03.01-87)"/>
    <s v="Бетонная смесь БСТ В25 П4 F50 W6 ГОСТ 7473-2010  Документы о качестве №2118, №2114  От 06.03.2023г."/>
    <m/>
  </r>
  <r>
    <m/>
    <x v="20"/>
    <d v="2023-05-15T00:00:00"/>
    <d v="2023-04-14T00:00:00"/>
    <d v="2023-05-15T00:00:00"/>
    <s v="Бетонирование лестниц в осях 11-14/И-Л с отметки +11.600 до +15.500"/>
    <s v="Шифр: 62-АБД-КЖ2 ООО «МОСРЕГИОНПРОЕКТ»"/>
    <s v="Бетонная смесь БСТ В25 П4 F50 W6 ГОСТ 7473-2010  Документы о качестве №4392, №4394, №4396  От 14.04.2023"/>
    <x v="20"/>
    <s v="СП 70.13330.2012 Несущие и ограждающие конструкции. (Актуализированная редакция СНиП 3.03.01-87)"/>
    <s v="Бетонная смесь БСТ В25 П4 F50 W6 ГОСТ 7473-2010  Документы о качестве №4392, №4394, №4396  От 14.04.2023"/>
    <m/>
  </r>
  <r>
    <m/>
    <x v="21"/>
    <d v="2023-01-10T00:00:00"/>
    <d v="2022-12-14T00:00:00"/>
    <d v="2023-01-10T00:00:00"/>
    <s v="Бетонирование лестниц в осях 33-38/И-Л с отметки -0.700 до -0.100"/>
    <s v="Шифр: 62-АБД-КЖ2 ООО «МОСРЕГИОНПРОЕКТ»"/>
    <s v="Бетонная смесь БСТ В25 П4 F50 W6 ГОСТ 7473-2010  Документы о качестве №18774, №18782, №18784, №18785, №18786, №18787, №18788, №18789, №18790 От 14.12.2022"/>
    <x v="21"/>
    <s v="СП 70.13330.2012 Несущие и ограждающие конструкции. (Актуализированная редакция СНиП 3.03.01-87)"/>
    <s v="Бетонная смесь БСТ В25 П4 F50 W6 ГОСТ 7473-2010  Документы о качестве №18774, №18782, №18784, №18785, №18786, №18787, №18788, №18789, №18790 От 14.12.2022"/>
    <m/>
  </r>
  <r>
    <m/>
    <x v="22"/>
    <d v="2023-02-23T00:00:00"/>
    <d v="2023-01-26T00:00:00"/>
    <d v="2023-02-23T00:00:00"/>
    <s v="Бетонирование лестниц в осях 33-38/И-Л с отметки -0.100 до +3.800"/>
    <s v="Шифр: 62-АБД-КЖ2 ООО «МОСРЕГИОНПРОЕКТ»"/>
    <s v="Бетонная смесь БСТ В25 П4 F50 W6 ГОСТ 7473-2010  Документы о качестве №545, №524, №527, №540, №549 От 26.01.2023г."/>
    <x v="22"/>
    <s v="СП 70.13330.2012 Несущие и ограждающие конструкции. (Актуализированная редакция СНиП 3.03.01-87)"/>
    <s v="Бетонная смесь БСТ В25 П4 F50 W6 ГОСТ 7473-2010  Документы о качестве №545, №524, №527, №540, №549 От 26.01.2023г."/>
    <m/>
  </r>
  <r>
    <m/>
    <x v="23"/>
    <d v="2023-03-20T00:00:00"/>
    <d v="2023-02-25T00:00:00"/>
    <d v="2023-03-20T00:00:00"/>
    <s v="Бетонирование лестниц в осях 33-38/И-Л с отметки +3.800 до +7.700"/>
    <s v="Шифр: 62-АБД-КЖ2 ООО «МОСРЕГИОНПРОЕКТ»"/>
    <s v="Бетонная смесь БСТ В25 П4 F50 W6 ГОСТ 7473-2010  Документы о качестве №1617, №1677, №1668  От 25.02.2023г."/>
    <x v="23"/>
    <s v="СП 70.13330.2012 Несущие и ограждающие конструкции. (Актуализированная редакция СНиП 3.03.01-87)"/>
    <s v="Бетонная смесь БСТ В25 П4 F50 W6 ГОСТ 7473-2010  Документы о качестве №1617, №1677, №1668  От 25.02.2023г."/>
    <m/>
  </r>
  <r>
    <m/>
    <x v="24"/>
    <d v="2023-04-19T00:00:00"/>
    <d v="2023-03-18T00:00:00"/>
    <d v="2023-04-19T00:00:00"/>
    <s v="Бетонирование лестниц в осях 33-38/И-Л с отметки +7.700 до +11.600"/>
    <s v="Шифр: 62-АБД-КЖ2 ООО «МОСРЕГИОНПРОЕКТ»"/>
    <s v="Бетонная смесь БСТ В25 П4 F50 W6 ГОСТ 7473-2010  Документы о качестве №2816, №2812, №2806  От 18.03.2023г."/>
    <x v="24"/>
    <s v="СП 70.13330.2012 Несущие и ограждающие конструкции. (Актуализированная редакция СНиП 3.03.01-87)"/>
    <s v="Бетонная смесь БСТ В25 П4 F50 W6 ГОСТ 7473-2010  Документы о качестве №2816, №2812, №2806  От 18.03.2023г."/>
    <m/>
  </r>
  <r>
    <m/>
    <x v="25"/>
    <d v="2023-05-09T00:00:00"/>
    <d v="2023-04-08T00:00:00"/>
    <d v="2023-05-09T00:00:00"/>
    <s v="Бетонирование лестниц в осях 33-38/И-Л с отметки +11.600 до +15.500"/>
    <s v="Шифр: 62-АБД-КЖ2 ООО «МОСРЕГИОНПРОЕКТ»"/>
    <s v="Бетонная смесь БСТ В25 П4 F150 W6 ГОСТ 7473-2010  Документы о качестве №4126, №4122,№413  От 08.04.2023"/>
    <x v="25"/>
    <s v="СП 70.13330.2012 Несущие и ограждающие конструкции. (Актуализированная редакция СНиП 3.03.01-87)"/>
    <s v="Бетонная смесь БСТ В25 П4 F150 W6 ГОСТ 7473-2010  Документы о качестве №4126, №4122,№413  От 08.04.2023"/>
    <m/>
  </r>
  <r>
    <m/>
    <x v="26"/>
    <d v="2022-12-02T00:00:00"/>
    <d v="2022-11-01T00:00:00"/>
    <d v="2022-12-02T00:00:00"/>
    <s v="Бетонирование лестниц в осях 34-36/ГГ-ДД с отметки -0.700 до -0.100"/>
    <s v="Шифр: 62-АБД-КЖ2 ООО «МОСРЕГИОНПРОЕКТ»"/>
    <s v="Бетонная смесь БСТ В25 П4 F50 W6 ГОСТ 7473-2010  Документы о качестве №2830, №2829, №2827, №2822  От 01.11.2022г."/>
    <x v="26"/>
    <s v="СП 70.13330.2012 Несущие и ограждающие конструкции. (Актуализированная редакция СНиП 3.03.01-87)"/>
    <s v="Бетонная смесь БСТ В25 П4 F50 W6 ГОСТ 7473-2010  Документы о качестве №2830, №2829, №2827, №2822  От 01.11.2022г."/>
    <m/>
  </r>
  <r>
    <m/>
    <x v="27"/>
    <d v="2022-12-08T00:00:00"/>
    <d v="2022-11-11T00:00:00"/>
    <d v="2022-12-08T00:00:00"/>
    <s v="Бетонирование лестниц в осях 34-36/ГГ-ДД с отметки -0.100 до +3.800"/>
    <s v="Шифр: 62-АБД-КЖ2 ООО «МОСРЕГИОНПРОЕКТ»"/>
    <s v="Бетонная смесь БСТ В25 П4 F100 W10 ГОСТ 7473-2010  Документы о качестве №2906, №2902, №2903, №2904  От 11.11.2022г."/>
    <x v="27"/>
    <s v="СП 70.13330.2012 Несущие и ограждающие конструкции. (Актуализированная редакция СНиП 3.03.01-87)"/>
    <s v="Бетонная смесь БСТ В25 П4 F100 W10 ГОСТ 7473-2010  Документы о качестве №2906, №2902, №2903, №2904  От 11.11.2022г."/>
    <m/>
  </r>
  <r>
    <m/>
    <x v="28"/>
    <d v="2022-12-12T00:00:00"/>
    <d v="2022-11-13T00:00:00"/>
    <d v="2022-12-12T00:00:00"/>
    <s v="Бетонирование лестниц в осях 34-36/ГГ-ДД с отметки +3.800 до +7.700"/>
    <s v="Шифр: 62-АБД-КЖ2 ООО «МОСРЕГИОНПРОЕКТ»"/>
    <s v="Бетонная смесь БСТ В25 П4 F50 W4 ГОСТ 7473-2010  Документы о качестве №2935, №2936, №2937, №2938, №2939, №2940, №2941, №2942 От 13.11.2022"/>
    <x v="28"/>
    <s v="СП 70.13330.2012 Несущие и ограждающие конструкции. (Актуализированная редакция СНиП 3.03.01-87)"/>
    <s v="Бетонная смесь БСТ В25 П4 F50 W4 ГОСТ 7473-2010  Документы о качестве №2935, №2936, №2937, №2938, №2939, №2940, №2941, №2942 От 13.11.2022"/>
    <m/>
  </r>
  <r>
    <m/>
    <x v="29"/>
    <d v="2022-12-15T00:00:00"/>
    <d v="2022-11-16T00:00:00"/>
    <d v="2022-12-15T00:00:00"/>
    <s v="Бетонирование лестниц в осях 34-36/ГГ-ДД с отметки +7.700 до +11.600"/>
    <s v="Шифр: 62-АБД-КЖ2 ООО «МОСРЕГИОНПРОЕКТ»"/>
    <s v="Бетонная смесь БСТ В25 П4 F100 W10 ГОСТ 7473-2010  Документы о качестве №2969, №2966, №2967,№2968,  О т16.11.2022"/>
    <x v="29"/>
    <s v="СП 70.13330.2012 Несущие и ограждающие конструкции. (Актуализированная редакция СНиП 3.03.01-87)"/>
    <s v="Бетонная смесь БСТ В25 П4 F100 W10 ГОСТ 7473-2010  Документы о качестве №2969, №2966, №2967,№2968,  О т16.11.2022"/>
    <m/>
  </r>
  <r>
    <m/>
    <x v="30"/>
    <d v="2022-12-27T00:00:00"/>
    <d v="2022-11-26T00:00:00"/>
    <d v="2022-12-27T00:00:00"/>
    <s v="Бетонирование лестниц в осях 34-36/ГГ-ДД с отметки +11.600 до +15.500"/>
    <s v="Шифр: 62-АБД-КЖ2 ООО «МОСРЕГИОНПРОЕКТ»"/>
    <s v="Бетонная смесь БСТ В25 П4 F50 W4 ГОСТ 7473-2010  Документы о качестве №18058, №18059, №18061, №18063, №18067, №18069, №18070, №18071 О т26.11.2022"/>
    <x v="30"/>
    <s v="СП 70.13330.2012 Несущие и ограждающие конструкции. (Актуализированная редакция СНиП 3.03.01-87)"/>
    <s v="Бетонная смесь БСТ В25 П4 F50 W4 ГОСТ 7473-2010  Документы о качестве №18058, №18059, №18061, №18063, №18067, №18069, №18070, №18071 О т26.11.2022"/>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Сводная таблица1" cacheId="0" dataOnRows="0" dataCaption="Значения"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3:F35" firstHeaderRow="0" firstDataRow="1" firstDataCol="1"/>
  <pivotFields count="12">
    <pivotField dataField="1"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manual" defaultSubtotal="1">
      <items count="32">
        <item t="data" sd="1" x="0"/>
        <item t="data" sd="1" x="9"/>
        <item t="data" sd="1" x="10"/>
        <item t="data" sd="1" x="11"/>
        <item t="data" sd="1" x="12"/>
        <item t="data" sd="1" x="13"/>
        <item t="data" sd="1" x="14"/>
        <item t="data" sd="1" x="15"/>
        <item t="data" sd="1" x="16"/>
        <item t="data" sd="1" x="17"/>
        <item t="data" sd="1" x="18"/>
        <item t="data" sd="1" x="1"/>
        <item t="data" sd="1" x="19"/>
        <item t="data" sd="1" x="20"/>
        <item t="data" sd="1" x="21"/>
        <item t="data" sd="1" x="22"/>
        <item t="data" sd="1" x="23"/>
        <item t="data" sd="1" x="24"/>
        <item t="data" sd="1" x="25"/>
        <item t="data" sd="1" x="26"/>
        <item t="data" sd="1" x="27"/>
        <item t="data" sd="1" x="28"/>
        <item t="data" sd="1" x="2"/>
        <item t="data" sd="1" x="29"/>
        <item t="data" sd="1" x="30"/>
        <item t="data" sd="1" x="3"/>
        <item t="data" sd="1" x="4"/>
        <item t="data" sd="1" x="5"/>
        <item t="data" sd="1" x="6"/>
        <item t="data" sd="1" x="7"/>
        <item t="data" sd="1" x="8"/>
        <item t="default" sd="1"/>
      </items>
    </pivotField>
    <pivotField showDropDowns="1" compact="1" numFmtId="14" outline="1" subtotalTop="1" dragToRow="1" dragToCol="1" dragToPage="1" dragToData="1" dragOff="1" showAll="0" topAutoShow="1" itemPageCount="10" sortType="manual" defaultSubtotal="1"/>
    <pivotField showDropDowns="1" compact="1" numFmtId="14" outline="1" subtotalTop="1" dragToRow="1" dragToCol="1" dragToPage="1" dragToData="1" dragOff="1" showAll="0" topAutoShow="1" itemPageCount="10" sortType="manual" defaultSubtotal="1"/>
    <pivotField dataField="1" showDropDowns="1" compact="1" numFmtId="14" outline="1" subtotalTop="1" dragToRow="1" dragToCol="1" dragToPage="1" dragToData="1" dragOff="1" showAll="0" topAutoShow="1" itemPageCount="10" sortType="manual" defaultSubtotal="1"/>
    <pivotField dataField="1"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dataField="1" showDropDowns="1" compact="1" outline="1" subtotalTop="1" dragToRow="1" dragToCol="1" dragToPage="1" dragToData="1" dragOff="1" showAll="0" topAutoShow="1" itemPageCount="10" sortType="manual" defaultSubtotal="1"/>
    <pivotField dataField="1" showDropDowns="1" compact="1" outline="1" subtotalTop="1" dragToRow="1" dragToCol="1" dragToPage="1" dragToData="1" dragOff="1" showAll="0" topAutoShow="1" itemPageCount="10" sortType="manual" defaultSubtotal="1">
      <items count="32">
        <item t="data" sd="1" x="19"/>
        <item t="data" sd="1" x="17"/>
        <item t="data" sd="1" x="16"/>
        <item t="data" sd="1" x="20"/>
        <item t="data" sd="1" x="18"/>
        <item t="data" sd="1" x="10"/>
        <item t="data" sd="1" x="11"/>
        <item t="data" sd="1" x="12"/>
        <item t="data" sd="1" x="13"/>
        <item t="data" sd="1" x="14"/>
        <item t="data" sd="1" x="15"/>
        <item t="data" sd="1" x="22"/>
        <item t="data" sd="1" x="21"/>
        <item t="data" sd="1" x="25"/>
        <item t="data" sd="1" x="23"/>
        <item t="data" sd="1" x="24"/>
        <item t="data" sd="1" x="27"/>
        <item t="data" sd="1" x="26"/>
        <item t="data" sd="1" x="30"/>
        <item t="data" sd="1" x="28"/>
        <item t="data" sd="1" x="29"/>
        <item t="data" sd="1" x="5"/>
        <item t="data" sd="1" x="6"/>
        <item t="data" sd="1" x="9"/>
        <item t="data" sd="1" x="7"/>
        <item t="data" sd="1" x="8"/>
        <item t="data" sd="1" x="1"/>
        <item t="data" sd="1" x="0"/>
        <item t="data" sd="1" x="4"/>
        <item t="data" sd="1" x="2"/>
        <item t="data" sd="1" x="3"/>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1"/>
  </rowFields>
  <rowItems count="32">
    <i t="data" r="0" i="0">
      <x v="0"/>
    </i>
    <i t="data" r="0" i="0">
      <x v="1"/>
    </i>
    <i t="data" r="0" i="0">
      <x v="2"/>
    </i>
    <i t="data" r="0" i="0">
      <x v="3"/>
    </i>
    <i t="data" r="0" i="0">
      <x v="4"/>
    </i>
    <i t="data" r="0" i="0">
      <x v="5"/>
    </i>
    <i t="data" r="0" i="0">
      <x v="6"/>
    </i>
    <i t="data" r="0" i="0">
      <x v="7"/>
    </i>
    <i t="data" r="0" i="0">
      <x v="8"/>
    </i>
    <i t="data" r="0" i="0">
      <x v="9"/>
    </i>
    <i t="data" r="0" i="0">
      <x v="10"/>
    </i>
    <i t="data" r="0" i="0">
      <x v="11"/>
    </i>
    <i t="data" r="0" i="0">
      <x v="12"/>
    </i>
    <i t="data" r="0" i="0">
      <x v="13"/>
    </i>
    <i t="data" r="0" i="0">
      <x v="14"/>
    </i>
    <i t="data" r="0" i="0">
      <x v="15"/>
    </i>
    <i t="data" r="0" i="0">
      <x v="16"/>
    </i>
    <i t="data" r="0" i="0">
      <x v="17"/>
    </i>
    <i t="data" r="0" i="0">
      <x v="18"/>
    </i>
    <i t="data" r="0" i="0">
      <x v="19"/>
    </i>
    <i t="data" r="0" i="0">
      <x v="20"/>
    </i>
    <i t="data" r="0" i="0">
      <x v="21"/>
    </i>
    <i t="data" r="0" i="0">
      <x v="22"/>
    </i>
    <i t="data" r="0" i="0">
      <x v="23"/>
    </i>
    <i t="data" r="0" i="0">
      <x v="24"/>
    </i>
    <i t="data" r="0" i="0">
      <x v="25"/>
    </i>
    <i t="data" r="0" i="0">
      <x v="26"/>
    </i>
    <i t="data" r="0" i="0">
      <x v="27"/>
    </i>
    <i t="data" r="0" i="0">
      <x v="28"/>
    </i>
    <i t="data" r="0" i="0">
      <x v="29"/>
    </i>
    <i t="data" r="0" i="0">
      <x v="30"/>
    </i>
    <i t="grand" r="0" i="0">
      <x v="0"/>
    </i>
  </rowItems>
  <colFields count="1">
    <field x="-2"/>
  </colFields>
  <colItems count="5">
    <i t="data" r="0" i="0">
      <x v="0"/>
    </i>
    <i t="data" r="0" i="1">
      <x v="1"/>
    </i>
    <i t="data" r="0" i="2">
      <x v="2"/>
    </i>
    <i t="data" r="0" i="3">
      <x v="3"/>
    </i>
    <i t="data" r="0" i="4">
      <x v="4"/>
    </i>
  </colItems>
  <dataFields count="5">
    <dataField name="Количество по полю 1. К освидетельствованию предъявлены следующие работы:" fld="5" subtotal="count" showDataAs="normal" baseField="0" baseItem="0"/>
    <dataField name="Количество по полю 3. При выполнении работ применены:" fld="7" subtotal="count" showDataAs="normal" baseField="0" baseItem="0"/>
    <dataField name="Количество по полю 4. Предъявлены документы" fld="8" subtotal="count" showDataAs="normal" baseField="0" baseItem="0"/>
    <dataField name="Количество по полю ИД" fld="0" subtotal="count" showDataAs="normal" baseField="0" baseItem="0"/>
    <dataField name="Количество по полю 5. Дата окончания" fld="4" subtotal="count" showDataAs="normal" baseField="0"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Таблица2" displayName="Таблица2" ref="A1:L32" headerRowCount="1" totalsRowShown="0" headerRowDxfId="28" headerRowBorderDxfId="27" tableBorderDxfId="26" headerRowCellStyle="40% — акцент1">
  <autoFilter ref="A1:L32"/>
  <tableColumns count="12">
    <tableColumn id="1" name="ИД"/>
    <tableColumn id="2" name="№ акта" dataDxfId="25"/>
    <tableColumn id="3" name="дата акта" dataDxfId="24"/>
    <tableColumn id="4" name="5. _x000a_Дата начала" dataDxfId="23"/>
    <tableColumn id="5" name="5. _x000a_Дата окончания" dataDxfId="22"/>
    <tableColumn id="6" name="1. К освидетельствованию предъявлены следующие работы:" dataDxfId="21" dataCellStyle="Normal"/>
    <tableColumn id="7" name="2. Работы выполнены по проектной документации: " dataDxfId="20" dataCellStyle="Normal"/>
    <tableColumn id="8" name="3. При выполнении работ применены:" dataDxfId="19" dataCellStyle="Normal"/>
    <tableColumn id="9" name="4. Предъявлены документы" dataDxfId="18" dataCellStyle="Normal"/>
    <tableColumn id="10" name="6. Работы выполнены в соответствии с" dataDxfId="17"/>
    <tableColumn id="11" name="7. Разрешается производство последующих работ по" dataDxfId="16" dataCellStyle="Normal">
      <calculatedColumnFormula>H2</calculatedColumnFormula>
    </tableColumn>
    <tableColumn id="12" name="Приложения" dataDxfId="15" dataCellStyle="Normal">
      <calculatedColumnFormula>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Таблица1" displayName="Таблица1" ref="A1:L79" headerRowCount="1" totalsRowShown="0" headerRowDxfId="14" dataDxfId="12" headerRowBorderDxfId="13" tableBorderDxfId="11" headerRowCellStyle="40% — акцент1">
  <autoFilter ref="A1:L79"/>
  <tableColumns count="12">
    <tableColumn id="1" name="ИД"/>
    <tableColumn id="2" name="№ акта" dataDxfId="10"/>
    <tableColumn id="3" name="дата акта" dataDxfId="9"/>
    <tableColumn id="4" name="5. Дата начала" dataDxfId="8"/>
    <tableColumn id="5" name="5. Дата окончания" dataDxfId="7"/>
    <tableColumn id="6" name="1. К освидетельствованию предъявлены следующие работы:" dataDxfId="6" dataCellStyle="Стиль 1"/>
    <tableColumn id="7" name="2. Работы выполнены по проектной документации: " dataDxfId="5"/>
    <tableColumn id="8" name="3. При выполнении работ применены:" dataDxfId="4"/>
    <tableColumn id="9" name="4. Предъявлены документы" dataDxfId="3"/>
    <tableColumn id="10" name="6. Работы выполнены в соответствии с" dataDxfId="2"/>
    <tableColumn id="11" name="7. Разрешается производство последующих работ по" dataDxfId="1"/>
    <tableColumn id="12" name="Приложения" dataDxfId="0"/>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table" Target="/xl/tables/table1.xml" Id="rId1" /></Relationships>
</file>

<file path=xl/worksheets/_rels/sheet6.xml.rels><Relationships xmlns="http://schemas.openxmlformats.org/package/2006/relationships"><Relationship Type="http://schemas.openxmlformats.org/officeDocument/2006/relationships/table" Target="/xl/tables/table2.xml" Id="rId1" /></Relationships>
</file>

<file path=xl/worksheets/_rels/sheet8.xml.rels><Relationships xmlns="http://schemas.openxmlformats.org/package/2006/relationships"><Relationship Type="http://schemas.openxmlformats.org/officeDocument/2006/relationships/pivotTable" Target="/xl/pivotTables/pivotTable1.xml" Id="rId1" /></Relationships>
</file>

<file path=xl/worksheets/sheet1.xml><?xml version="1.0" encoding="utf-8"?>
<worksheet xmlns="http://schemas.openxmlformats.org/spreadsheetml/2006/main">
  <sheetPr codeName="Лист2">
    <tabColor rgb="FF92D050"/>
    <outlinePr summaryBelow="1" summaryRight="1"/>
    <pageSetUpPr/>
  </sheetPr>
  <dimension ref="B2:J245"/>
  <sheetViews>
    <sheetView view="pageBreakPreview" zoomScale="131" zoomScaleSheetLayoutView="140" workbookViewId="0">
      <selection activeCell="C27" sqref="C27"/>
    </sheetView>
  </sheetViews>
  <sheetFormatPr baseColWidth="10" defaultColWidth="9.1640625" defaultRowHeight="16"/>
  <cols>
    <col width="3.33203125" customWidth="1" style="36" min="1" max="1"/>
    <col width="7.83203125" customWidth="1" style="37" min="2" max="2"/>
    <col width="70.1640625" customWidth="1" style="39" min="3" max="3"/>
    <col width="27.5" customWidth="1" style="38" min="4" max="4"/>
    <col width="22.1640625" customWidth="1" style="37" min="5" max="5"/>
    <col width="13.5" customWidth="1" style="37" min="6" max="6"/>
    <col width="9.1640625" customWidth="1" style="36" min="7" max="8"/>
    <col width="70.6640625" customWidth="1" style="36" min="9" max="9"/>
    <col width="9.1640625" customWidth="1" style="36" min="10" max="16384"/>
  </cols>
  <sheetData>
    <row r="2" ht="17" customHeight="1">
      <c r="B2" s="64" t="inlineStr">
        <is>
          <t>Реестр</t>
        </is>
      </c>
    </row>
    <row r="3" ht="48" customHeight="1">
      <c r="B3" s="62" t="inlineStr">
        <is>
          <t>производственной и исполнительной документации, подтверждающий факт физического создания объекта капитального строительства, свидетельствующий о соответствии его требованиям проектной документации и технических регламентов</t>
        </is>
      </c>
    </row>
    <row r="5" ht="36.75" customHeight="1">
      <c r="B5" s="63" t="n"/>
    </row>
    <row r="6">
      <c r="B6" s="48" t="n"/>
      <c r="C6" s="50" t="n"/>
      <c r="D6" s="49" t="n"/>
      <c r="E6" s="48" t="n"/>
      <c r="F6" s="48" t="n"/>
    </row>
    <row r="8" ht="68" customHeight="1">
      <c r="B8" s="42" t="inlineStr">
        <is>
          <t>№ п/п</t>
        </is>
      </c>
      <c r="C8" s="42" t="inlineStr">
        <is>
          <t>Наименование видов освидетельствования (геодезических, скрываемых работ, конструкций, участков сетей), испытаний, материалов.</t>
        </is>
      </c>
      <c r="D8" s="42" t="inlineStr">
        <is>
          <t>Место освидетельствования, испытаний, применения материала (оси, отметка).</t>
        </is>
      </c>
      <c r="E8" s="42" t="inlineStr">
        <is>
          <t>Время (период) ведения журнала, проведения освидетельствования, испытания.</t>
        </is>
      </c>
      <c r="F8" s="42" t="inlineStr">
        <is>
          <t>Примечание</t>
        </is>
      </c>
    </row>
    <row r="9" ht="11.25" customHeight="1">
      <c r="B9" s="46" t="n">
        <v>1</v>
      </c>
      <c r="C9" s="46" t="n">
        <v>2</v>
      </c>
      <c r="D9" s="47" t="n">
        <v>3</v>
      </c>
      <c r="E9" s="46" t="n">
        <v>4</v>
      </c>
      <c r="F9" s="46" t="n">
        <v>6</v>
      </c>
    </row>
    <row r="10">
      <c r="B10" s="115" t="n"/>
      <c r="C10" s="116" t="n"/>
      <c r="D10" s="116" t="n"/>
      <c r="E10" s="116" t="n"/>
      <c r="F10" s="117" t="n"/>
    </row>
    <row r="11">
      <c r="B11" s="118" t="inlineStr">
        <is>
          <t>Исполнительная документация</t>
        </is>
      </c>
      <c r="C11" s="116" t="n"/>
      <c r="D11" s="116" t="n"/>
      <c r="E11" s="116" t="n"/>
      <c r="F11" s="117" t="n"/>
    </row>
    <row r="12" customFormat="1" s="45">
      <c r="B12" s="41" t="n">
        <v>1</v>
      </c>
      <c r="C12" s="43" t="inlineStr">
        <is>
          <t>АОСР № ГП/115 Разработка грунта под покрытие Тип 1</t>
        </is>
      </c>
      <c r="D12" s="43" t="inlineStr"/>
      <c r="E12" s="43" t="inlineStr">
        <is>
          <t>"03" июня 2022 г.</t>
        </is>
      </c>
      <c r="F12" s="41" t="n"/>
      <c r="I12" s="43">
        <f>"АОСР"&amp;" "&amp;"№ "&amp;#REF!&amp;" "&amp;#REF!</f>
        <v/>
      </c>
      <c r="J12" s="43">
        <f>MID(#REF!,1,FIND("в осях",#REF!))</f>
        <v/>
      </c>
    </row>
    <row r="13" ht="17" customHeight="1">
      <c r="B13" s="41">
        <f>1+B12</f>
        <v/>
      </c>
      <c r="C13" s="43" t="inlineStr">
        <is>
          <t>Исполнительная схема№ ГП/115 "Разработка грунта под покрытие Тип 1"</t>
        </is>
      </c>
      <c r="D13" s="42" t="n"/>
      <c r="E13" s="41" t="n"/>
      <c r="F13" s="41" t="n"/>
      <c r="I13" s="43" t="n"/>
      <c r="J13" s="42">
        <f>RIGHT(J8,9)</f>
        <v/>
      </c>
    </row>
    <row r="14" customFormat="1" s="44">
      <c r="B14" s="41">
        <f>1+B13</f>
        <v/>
      </c>
      <c r="C14" s="43" t="inlineStr">
        <is>
          <t xml:space="preserve">Полотно нетканое геотекстильное (Дорнит) марки ГИДРОСПАН 400/4,20, паспорт качества №108 от 10.05.2022 г., </t>
        </is>
      </c>
      <c r="D14" s="42" t="n"/>
      <c r="E14" s="41" t="n"/>
      <c r="F14" s="41" t="n"/>
      <c r="I14" s="43" t="n"/>
      <c r="J14" s="42" t="n"/>
    </row>
    <row r="15">
      <c r="B15" s="41">
        <f>1+B14</f>
        <v/>
      </c>
      <c r="C15" s="43" t="inlineStr">
        <is>
          <t>АОСР № ГП/116 Устройство слоя геотекстиля под покрытие Тип 1</t>
        </is>
      </c>
      <c r="D15" s="42" t="inlineStr"/>
      <c r="E15" s="41" t="inlineStr">
        <is>
          <t>"06" июня 2022 г.</t>
        </is>
      </c>
      <c r="F15" s="41" t="n"/>
      <c r="I15" s="43" t="n"/>
      <c r="J15" s="42" t="n"/>
    </row>
    <row r="16" customFormat="1" s="44">
      <c r="B16" s="41">
        <f>1+B15</f>
        <v/>
      </c>
      <c r="C16" s="43" t="inlineStr">
        <is>
          <t>Исполнительная схема№ ГП/116 "Устройство слоя геотекстиля под покрытие Тип 1"</t>
        </is>
      </c>
      <c r="D16" s="42" t="n"/>
      <c r="E16" s="41" t="n"/>
      <c r="F16" s="41" t="n"/>
      <c r="I16" s="43" t="n"/>
      <c r="J16" s="42" t="n"/>
    </row>
    <row r="17" ht="17" customHeight="1">
      <c r="B17" s="41">
        <f>1+B16</f>
        <v/>
      </c>
      <c r="C17" s="43" t="inlineStr">
        <is>
          <t xml:space="preserve">Полотно нетканое геотекстильное (Дорнит) марки ГИДРОСПАН 400/4,20, паспорт качества №108 от 10.05.2022 г., </t>
        </is>
      </c>
      <c r="D17" s="42" t="n"/>
      <c r="E17" s="41" t="n"/>
      <c r="F17" s="41" t="n"/>
      <c r="I17" s="43" t="inlineStr">
        <is>
          <t>"АОСР"&amp;" "&amp;"№ "&amp;данные!B3&amp;" "&amp;данные!E3</t>
        </is>
      </c>
      <c r="J17" s="42" t="inlineStr">
        <is>
          <t>АОСР</t>
        </is>
      </c>
    </row>
    <row r="18" customFormat="1" s="44">
      <c r="B18" s="41">
        <f>1+B17</f>
        <v/>
      </c>
      <c r="C18" s="43" t="inlineStr">
        <is>
          <t>АОСР № ГП/117 Устройство слоя песка под покрытие Тип 1</t>
        </is>
      </c>
      <c r="D18" s="42" t="inlineStr"/>
      <c r="E18" s="41" t="inlineStr">
        <is>
          <t>"07" июня 2022 г.</t>
        </is>
      </c>
      <c r="F18" s="41" t="n"/>
    </row>
    <row r="19">
      <c r="B19" s="41">
        <f>1+B18</f>
        <v/>
      </c>
      <c r="C19" s="43" t="inlineStr">
        <is>
          <t>Исполнительная схема№ ГП/117 "Устройство слоя песка под покрытие Тип 1"</t>
        </is>
      </c>
      <c r="D19" s="42" t="n"/>
      <c r="E19" s="41" t="n"/>
      <c r="F19" s="41" t="n"/>
    </row>
    <row r="20" customFormat="1" s="45">
      <c r="B20" s="41">
        <f>1+B19</f>
        <v/>
      </c>
      <c r="C20" s="43" t="inlineStr">
        <is>
          <t>Песок природный для строительных работ, паспорт №1/21 от 16.04.2022 г., сертификат соответствия №РОСС RU.НВ61.Н02148 срок действия с 10.03.2020 по 09.03.2023 г.</t>
        </is>
      </c>
      <c r="D20" s="42" t="n"/>
      <c r="E20" s="41" t="n"/>
      <c r="F20" s="41" t="n"/>
    </row>
    <row r="21">
      <c r="B21" s="41">
        <f>1+B20</f>
        <v/>
      </c>
      <c r="C21" s="43" t="inlineStr">
        <is>
          <t>АОСР № ГП/118 Устройство слоя геотекстиля под покрытие Тип 1</t>
        </is>
      </c>
      <c r="D21" s="42" t="inlineStr"/>
      <c r="E21" s="41" t="inlineStr">
        <is>
          <t>"08" июня 2022 г.</t>
        </is>
      </c>
      <c r="F21" s="41" t="n"/>
    </row>
    <row r="22" customFormat="1" s="44">
      <c r="B22" s="41">
        <f>1+B21</f>
        <v/>
      </c>
      <c r="C22" s="43" t="inlineStr">
        <is>
          <t>Исполнительная схема№ ГП/118 "Устройство слоя геотекстиля под покрытие Тип 1"</t>
        </is>
      </c>
      <c r="D22" s="42" t="n"/>
      <c r="E22" s="41" t="n"/>
      <c r="F22" s="41" t="n"/>
    </row>
    <row r="23">
      <c r="B23" s="41">
        <f>1+B22</f>
        <v/>
      </c>
      <c r="C23" s="43" t="inlineStr">
        <is>
          <t xml:space="preserve">Полотно нетканое геотекстильное (Дорнит) марки ГИДРОСПАН 400/4,20, паспорт качества №108 от 10.05.2022 г., </t>
        </is>
      </c>
      <c r="D23" s="42" t="n"/>
      <c r="E23" s="41" t="n"/>
      <c r="F23" s="41" t="n"/>
    </row>
    <row r="24" customFormat="1" s="44">
      <c r="B24" s="41">
        <f>1+B23</f>
        <v/>
      </c>
      <c r="C24" s="43" t="inlineStr">
        <is>
          <t>АОСР № ГП/119 Устройство слоя из щебня 40-60 под покрытие Тип 1</t>
        </is>
      </c>
      <c r="D24" s="42" t="inlineStr"/>
      <c r="E24" s="41" t="inlineStr">
        <is>
          <t>"10" июня 2022 г.</t>
        </is>
      </c>
      <c r="F24" s="41" t="n"/>
    </row>
    <row r="25">
      <c r="B25" s="41">
        <f>1+B24</f>
        <v/>
      </c>
      <c r="C25" s="43" t="inlineStr">
        <is>
          <t>Исполнительная схема№ ГП/119 "Устройство слоя из щебня 40-60 под покрытие Тип 1"</t>
        </is>
      </c>
      <c r="D25" s="42" t="n"/>
      <c r="E25" s="41" t="n"/>
      <c r="F25" s="41" t="n"/>
    </row>
    <row r="26" customFormat="1" s="44">
      <c r="B26" s="41">
        <f>1+B25</f>
        <v/>
      </c>
      <c r="C26" s="43" t="inlineStr">
        <is>
          <t>Паспорт качества на щебень известняковый фракции 40-70, паспорт №б/н от 27.02.2022 г., Сертификат соответствия №РОСС.RU.АГ25.Н12101 срок действия с 17.12.2021 по 16.12.2024 г.</t>
        </is>
      </c>
      <c r="D26" s="42" t="n"/>
      <c r="E26" s="41" t="n"/>
      <c r="F26" s="41" t="n"/>
    </row>
    <row r="27">
      <c r="B27" s="41">
        <f>1+B26</f>
        <v/>
      </c>
      <c r="C27" s="43" t="inlineStr">
        <is>
          <t>АОСР № ГП/120 Устройство слоя из щебня 20-40 под покрытие Тип 1</t>
        </is>
      </c>
      <c r="D27" s="42" t="inlineStr"/>
      <c r="E27" s="41" t="inlineStr">
        <is>
          <t>"13" июня 2022 г.</t>
        </is>
      </c>
      <c r="F27" s="41" t="n"/>
    </row>
    <row r="28" customFormat="1" s="45">
      <c r="B28" s="41">
        <f>1+B27</f>
        <v/>
      </c>
      <c r="C28" s="43" t="inlineStr">
        <is>
          <t>Исполнительная схема№ ГП/120 "Устройство слоя из щебня 20-40 под покрытие Тип 1"</t>
        </is>
      </c>
      <c r="D28" s="42" t="n"/>
      <c r="E28" s="41" t="n"/>
      <c r="F28" s="41" t="n"/>
    </row>
    <row r="29">
      <c r="B29" s="41">
        <f>1+B28</f>
        <v/>
      </c>
      <c r="C29" s="43" t="inlineStr">
        <is>
          <t>Щебень известняковый фракции 20-40, паспорт качества №б/н от 27.02.2022 г., Сертификат соответствия №РОСС.RU.АГ25.Н12101 срок действия с 17.12.2021 по 16.12.2024 г.</t>
        </is>
      </c>
      <c r="D29" s="42" t="n"/>
      <c r="E29" s="41" t="n"/>
      <c r="F29" s="41" t="n"/>
    </row>
    <row r="30" customFormat="1" s="44">
      <c r="B30" s="41">
        <f>1+B29</f>
        <v/>
      </c>
      <c r="C30" s="43" t="inlineStr">
        <is>
          <t>АОСР № ГП/121 Устройство слоя из битума под покрытие Тип 1</t>
        </is>
      </c>
      <c r="D30" s="42" t="inlineStr"/>
      <c r="E30" s="41" t="inlineStr">
        <is>
          <t>"15" июня 2022 г.</t>
        </is>
      </c>
      <c r="F30" s="41" t="n"/>
    </row>
    <row r="31">
      <c r="B31" s="41">
        <f>1+B30</f>
        <v/>
      </c>
      <c r="C31" s="43" t="inlineStr">
        <is>
          <t>Исполнительная схема№ ГП/121 "Устройство слоя из битума под покрытие Тип 1"</t>
        </is>
      </c>
      <c r="D31" s="42" t="n"/>
      <c r="E31" s="41" t="n"/>
      <c r="F31" s="41" t="n"/>
    </row>
    <row r="32" customFormat="1" s="44">
      <c r="B32" s="41">
        <f>1+B31</f>
        <v/>
      </c>
      <c r="C32" s="43" t="inlineStr">
        <is>
          <t>Битум нефтяной, паспорт продукции №90-1-08-14 от 03.06.2022 г., декларация о соответствии №ЕАЭС N RU Д-RU.АИ16.В.03915 срок действия с 02.03.2018 по 01.03.2023 г.</t>
        </is>
      </c>
      <c r="D32" s="42" t="n"/>
      <c r="E32" s="41" t="n"/>
      <c r="F32" s="41" t="n"/>
    </row>
    <row r="33">
      <c r="B33" s="41">
        <f>1+B32</f>
        <v/>
      </c>
      <c r="C33" s="43" t="inlineStr">
        <is>
          <t>АОСР № ГП/122 Устройство слоя из асфальтобетона крупнозернистого под покрытие Тип 1</t>
        </is>
      </c>
      <c r="D33" s="42" t="inlineStr"/>
      <c r="E33" s="41" t="inlineStr">
        <is>
          <t>"15" июня 2022 г.</t>
        </is>
      </c>
      <c r="F33" s="41" t="n"/>
    </row>
    <row r="34" customFormat="1" s="44">
      <c r="B34" s="41">
        <f>1+B33</f>
        <v/>
      </c>
      <c r="C34" s="43" t="inlineStr">
        <is>
          <t>Исполнительная схема№ ГП/122 "Устройство слоя из асфальтобетона крупнозернистого под покрытие Тип 1"</t>
        </is>
      </c>
      <c r="D34" s="42" t="n"/>
      <c r="E34" s="41" t="n"/>
      <c r="F34" s="41" t="n"/>
    </row>
    <row r="35">
      <c r="B35" s="41">
        <f>1+B34</f>
        <v/>
      </c>
      <c r="C35" s="43" t="inlineStr">
        <is>
          <t>Крупнозернистая смесь для плотного асфальтобетоа тип Б марка II для нижнего слоя покрытия, паспорт №580 от 15.06.2022 г.</t>
        </is>
      </c>
      <c r="D35" s="42" t="n"/>
      <c r="E35" s="41" t="n"/>
      <c r="F35" s="41" t="n"/>
    </row>
    <row r="36" customFormat="1" s="45">
      <c r="B36" s="41">
        <f>1+B35</f>
        <v/>
      </c>
      <c r="C36" s="43" t="inlineStr">
        <is>
          <t>АОСР № ГП/123 Устройство слоя из песчаного асфальтобетона Тип 1</t>
        </is>
      </c>
      <c r="D36" s="42" t="inlineStr"/>
      <c r="E36" s="41" t="inlineStr">
        <is>
          <t>"27" июня 2022 г.</t>
        </is>
      </c>
      <c r="F36" s="41" t="n"/>
    </row>
    <row r="37">
      <c r="B37" s="41">
        <f>1+B36</f>
        <v/>
      </c>
      <c r="C37" s="43" t="inlineStr">
        <is>
          <t>Исполнительная схема№ ГП/123 "Устройство слоя из песчаного асфальтобетона Тип 1"</t>
        </is>
      </c>
      <c r="D37" s="42" t="n"/>
      <c r="E37" s="41" t="n"/>
      <c r="F37" s="41" t="n"/>
    </row>
    <row r="38" customFormat="1" s="44">
      <c r="B38" s="41">
        <f>1+B37</f>
        <v/>
      </c>
      <c r="C38" s="43" t="inlineStr">
        <is>
          <t>Песчаная асфальтобетонная смесь тип Д марки II для верхнего слоя покрытия, паспорт №636 от 27.06.2022 г., сертификат соответствия №RU.МСС.186.366.36393 срок действия с 15.04.2021 по 15.04.2023 г.</t>
        </is>
      </c>
      <c r="D38" s="42" t="n"/>
      <c r="E38" s="41" t="n"/>
      <c r="F38" s="41" t="n"/>
    </row>
    <row r="39">
      <c r="B39" s="41">
        <f>1+B38</f>
        <v/>
      </c>
      <c r="C39" s="43" t="inlineStr">
        <is>
          <t>АОСР № ГП/124 Уплотнение грунта под покрытие Тип 2</t>
        </is>
      </c>
      <c r="D39" s="42" t="inlineStr"/>
      <c r="E39" s="41" t="inlineStr">
        <is>
          <t>"03" июня 2022 г.</t>
        </is>
      </c>
      <c r="F39" s="41" t="n"/>
    </row>
    <row r="40" customFormat="1" s="44">
      <c r="B40" s="41">
        <f>1+B39</f>
        <v/>
      </c>
      <c r="C40" s="43" t="inlineStr">
        <is>
          <t>Исполнительная схема№ ГП/124 "Уплотнение грунта под покрытие Тип 2"</t>
        </is>
      </c>
      <c r="D40" s="42" t="n"/>
      <c r="E40" s="41" t="n"/>
      <c r="F40" s="41" t="n"/>
    </row>
    <row r="41">
      <c r="B41" s="41">
        <f>1+B40</f>
        <v/>
      </c>
      <c r="C41" s="43" t="inlineStr">
        <is>
          <t>Песчаная асфальтобетонная смесь тип Д марки II для верхнего слоя покрытия, паспорт №636 от 27.06.2022 г., сертификат соответствия №RU.МСС.186.366.36393 срок действия с 15.04.2021 по 15.04.2023 г.</t>
        </is>
      </c>
      <c r="D41" s="42" t="n"/>
      <c r="E41" s="41" t="n"/>
      <c r="F41" s="41" t="n"/>
    </row>
    <row r="42" customFormat="1" s="44">
      <c r="B42" s="41">
        <f>1+B41</f>
        <v/>
      </c>
      <c r="C42" s="43" t="inlineStr">
        <is>
          <t>АОСР № ГП/125 Устройство слоя геотекстиля под покрытие Тип 2</t>
        </is>
      </c>
      <c r="D42" s="42" t="inlineStr"/>
      <c r="E42" s="41" t="inlineStr">
        <is>
          <t>"06" июня 2022 г.</t>
        </is>
      </c>
      <c r="F42" s="41" t="n"/>
    </row>
    <row r="43">
      <c r="B43" s="41">
        <f>1+B42</f>
        <v/>
      </c>
      <c r="C43" s="43" t="inlineStr">
        <is>
          <t>Исполнительная схема№ ГП/125 "Устройство слоя геотекстиля под покрытие Тип 2"</t>
        </is>
      </c>
      <c r="D43" s="42" t="n"/>
      <c r="E43" s="41" t="n"/>
      <c r="F43" s="41" t="n"/>
    </row>
    <row r="44" customFormat="1" s="45">
      <c r="B44" s="41">
        <f>1+B43</f>
        <v/>
      </c>
      <c r="C44" s="43" t="inlineStr">
        <is>
          <t xml:space="preserve">Полотно нетканое геотекстильное (Дорнит) марки ГИДРОСПАН 400/4,20, паспорт качества №108 от 10.05.2022 г., </t>
        </is>
      </c>
      <c r="D44" s="42" t="n"/>
      <c r="E44" s="41" t="n"/>
      <c r="F44" s="41" t="n"/>
    </row>
    <row r="45">
      <c r="B45" s="41">
        <f>1+B44</f>
        <v/>
      </c>
      <c r="C45" s="43" t="inlineStr">
        <is>
          <t>АОСР № ГП/126 Устройство слоя песка под покрытие Тип 2</t>
        </is>
      </c>
      <c r="D45" s="42" t="inlineStr"/>
      <c r="E45" s="41" t="inlineStr">
        <is>
          <t>"07" июня 2022 г.</t>
        </is>
      </c>
      <c r="F45" s="41" t="n"/>
    </row>
    <row r="46" customFormat="1" s="44">
      <c r="B46" s="41">
        <f>1+B45</f>
        <v/>
      </c>
      <c r="C46" s="43" t="inlineStr">
        <is>
          <t>Исполнительная схема№ ГП/126 "Устройство слоя песка под покрытие Тип 2"</t>
        </is>
      </c>
      <c r="D46" s="42" t="n"/>
      <c r="E46" s="41" t="n"/>
      <c r="F46" s="41" t="n"/>
    </row>
    <row r="47">
      <c r="B47" s="41">
        <f>1+B46</f>
        <v/>
      </c>
      <c r="C47" s="43" t="inlineStr">
        <is>
          <t>Песок природный для строительных работ, паспорт №1/21 от 16.04.2022 г., сертификат соответствия №РОСС RU.НВ61.Н02148 срок действия с 10.03.2020 по 09.03.2023 г.</t>
        </is>
      </c>
      <c r="D47" s="42" t="n"/>
      <c r="E47" s="41" t="n"/>
      <c r="F47" s="41" t="n"/>
    </row>
    <row r="48" customFormat="1" s="44">
      <c r="B48" s="41">
        <f>1+B47</f>
        <v/>
      </c>
      <c r="C48" s="43" t="inlineStr">
        <is>
          <t>АОСР № ГП/127 Устройство слоя из геотекстиля под покрытие Тип 2</t>
        </is>
      </c>
      <c r="D48" s="42" t="inlineStr"/>
      <c r="E48" s="41" t="inlineStr">
        <is>
          <t>"08" июня 2022 г.</t>
        </is>
      </c>
      <c r="F48" s="41" t="n"/>
    </row>
    <row r="49">
      <c r="B49" s="41">
        <f>1+B48</f>
        <v/>
      </c>
      <c r="C49" s="43" t="inlineStr">
        <is>
          <t>Исполнительная схема№ ГП/127 "Устройство слоя из геотекстиля под покрытие Тип 2"</t>
        </is>
      </c>
      <c r="D49" s="42" t="n"/>
      <c r="E49" s="41" t="n"/>
      <c r="F49" s="41" t="n"/>
    </row>
    <row r="50" customFormat="1" s="44">
      <c r="B50" s="41">
        <f>1+B49</f>
        <v/>
      </c>
      <c r="C50" s="43" t="inlineStr">
        <is>
          <t xml:space="preserve">Полотно нетканое геотекстильное (Дорнит) марки ГИДРОСПАН 400/4,20, паспорт качества №108 от 10.05.2022 г., </t>
        </is>
      </c>
      <c r="D50" s="42" t="n"/>
      <c r="E50" s="41" t="n"/>
      <c r="F50" s="41" t="n"/>
    </row>
    <row r="51">
      <c r="B51" s="41">
        <f>1+B50</f>
        <v/>
      </c>
      <c r="C51" s="43" t="inlineStr">
        <is>
          <t>АОСР № ГП/128 Устройство слоя из щебня 20-40 под покрытие Тип 2</t>
        </is>
      </c>
      <c r="D51" s="42" t="inlineStr"/>
      <c r="E51" s="41" t="inlineStr">
        <is>
          <t>"10" июня 2022 г.</t>
        </is>
      </c>
      <c r="F51" s="41" t="n"/>
    </row>
    <row r="52" customFormat="1" s="45">
      <c r="B52" s="41">
        <f>1+B51</f>
        <v/>
      </c>
      <c r="C52" s="43" t="inlineStr">
        <is>
          <t>Исполнительная схема№ ГП/128 "Устройство слоя из щебня 20-40 под покрытие Тип 2"</t>
        </is>
      </c>
      <c r="D52" s="42" t="n"/>
      <c r="E52" s="41" t="n"/>
      <c r="F52" s="41" t="n"/>
    </row>
    <row r="53">
      <c r="B53" s="41">
        <f>1+B52</f>
        <v/>
      </c>
      <c r="C53" s="43" t="inlineStr">
        <is>
          <t>Щебень известняковый фракции 20-40, паспорт качества №б/н от 27.02.2022 г., Сертификат соответствия №РОСС.RU.АГ25.Н12101 срок действия с 17.12.2021 по 16.12.2024 г.</t>
        </is>
      </c>
      <c r="D53" s="42" t="n"/>
      <c r="E53" s="41" t="n"/>
      <c r="F53" s="41" t="n"/>
    </row>
    <row r="54" customFormat="1" s="44">
      <c r="B54" s="41">
        <f>1+B53</f>
        <v/>
      </c>
      <c r="C54" s="43" t="inlineStr">
        <is>
          <t>АОСР № ГП/129 Устройство слоя из ЦПС-а под покрытие Тип 2</t>
        </is>
      </c>
      <c r="D54" s="42" t="inlineStr"/>
      <c r="E54" s="41" t="inlineStr">
        <is>
          <t>"13" июня 2022 г.</t>
        </is>
      </c>
      <c r="F54" s="41" t="n"/>
    </row>
    <row r="55">
      <c r="B55" s="41">
        <f>1+B54</f>
        <v/>
      </c>
      <c r="C55" s="43" t="inlineStr">
        <is>
          <t>Исполнительная схема№ ГП/129 "Устройство слоя из ЦПС-а под покрытие Тип 2"</t>
        </is>
      </c>
      <c r="D55" s="42" t="n"/>
      <c r="E55" s="41" t="n"/>
      <c r="F55" s="41" t="n"/>
    </row>
    <row r="56" customFormat="1" s="44">
      <c r="B56" s="41">
        <f>1+B55</f>
        <v/>
      </c>
      <c r="C56" s="43" t="inlineStr">
        <is>
          <t>Смесь сухая цементно-песчаная, паспорт качества №55 от 29.04.2022 г., сертификат соответствия №РОСС RU.32001.04ИБФ1.ОСП18.17941 срок действия с 21.03.2022 по 20.03.2025 г.</t>
        </is>
      </c>
      <c r="D56" s="42" t="n"/>
      <c r="E56" s="41" t="n"/>
      <c r="F56" s="41" t="n"/>
    </row>
    <row r="57">
      <c r="B57" s="41">
        <f>1+B56</f>
        <v/>
      </c>
      <c r="C57" s="43" t="inlineStr">
        <is>
          <t>АОСР № ГП/130 Устройство слоя из брусчатки Тип 2</t>
        </is>
      </c>
      <c r="D57" s="42" t="inlineStr"/>
      <c r="E57" s="41" t="inlineStr">
        <is>
          <t>"22" июня 2022 г.</t>
        </is>
      </c>
      <c r="F57" s="41" t="n"/>
    </row>
    <row r="58" customFormat="1" s="44">
      <c r="B58" s="41">
        <f>1+B57</f>
        <v/>
      </c>
      <c r="C58" s="43" t="inlineStr">
        <is>
          <t>Исполнительная схема№ ГП/130 "Устройство слоя из брусчатки Тип 2"</t>
        </is>
      </c>
      <c r="D58" s="42" t="n"/>
      <c r="E58" s="41" t="n"/>
      <c r="F58" s="41" t="n"/>
    </row>
    <row r="59">
      <c r="B59" s="41">
        <f>1+B58</f>
        <v/>
      </c>
      <c r="C59" s="43"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№5018/Б от 10.06.2022., №5244/Б от 15.06.2022., №5675/Б от 22.06.2022., №5674/Б от 22.06.2022., №5657/Б от 22.06.2022., №5656/Б от 22.06.2022.; Смесь сухая цементно-песчаная, паспорт качества №55 от 29.04.2022 г., сертификат соответствия №РОСС RU.32001.04ИБФ1.ОСП18.17941 срок действия с 21.03.2022 по 20.03.2025 г.</t>
        </is>
      </c>
      <c r="D59" s="42" t="n"/>
      <c r="E59" s="41" t="n"/>
      <c r="F59" s="41" t="n"/>
    </row>
    <row r="60" customFormat="1" s="45">
      <c r="B60" s="41">
        <f>1+B59</f>
        <v/>
      </c>
      <c r="C60" s="43" t="inlineStr">
        <is>
          <t>АОСР № ГП/133 Уплотнение грунта под покрытие Тип 3</t>
        </is>
      </c>
      <c r="D60" s="42" t="inlineStr"/>
      <c r="E60" s="41" t="inlineStr">
        <is>
          <t>"03" июня 2022 г.</t>
        </is>
      </c>
      <c r="F60" s="41" t="n"/>
    </row>
    <row r="61">
      <c r="B61" s="41">
        <f>1+B60</f>
        <v/>
      </c>
      <c r="C61" s="43" t="inlineStr">
        <is>
          <t>Исполнительная схема№ ГП/133 "Уплотнение грунта под покрытие Тип 3"</t>
        </is>
      </c>
      <c r="D61" s="42" t="n"/>
      <c r="E61" s="41" t="n"/>
      <c r="F61" s="41" t="n"/>
    </row>
    <row r="62" customFormat="1" s="44">
      <c r="B62" s="41">
        <f>1+B61</f>
        <v/>
      </c>
      <c r="C62" s="43" t="inlineStr">
        <is>
          <t xml:space="preserve">Полотно нетканое геотекстильное (Дорнит) марки ГИДРОСПАН 400/4,20, паспорт качества №108 от 10.05.2022 г., </t>
        </is>
      </c>
      <c r="D62" s="42" t="n"/>
      <c r="E62" s="41" t="n"/>
      <c r="F62" s="41" t="n"/>
    </row>
    <row r="63">
      <c r="B63" s="41">
        <f>1+B62</f>
        <v/>
      </c>
      <c r="C63" s="43" t="inlineStr">
        <is>
          <t>АОСР № ГП/134 Устройство слоя геотекстиля под покрытие Тип 3</t>
        </is>
      </c>
      <c r="D63" s="42" t="inlineStr"/>
      <c r="E63" s="41" t="inlineStr">
        <is>
          <t>"06" июня 2022 г.</t>
        </is>
      </c>
      <c r="F63" s="41" t="n"/>
    </row>
    <row r="64" customFormat="1" s="44">
      <c r="B64" s="41">
        <f>1+B63</f>
        <v/>
      </c>
      <c r="C64" s="43" t="inlineStr">
        <is>
          <t>Исполнительная схема№ ГП/134 "Устройство слоя геотекстиля под покрытие Тип 3"</t>
        </is>
      </c>
      <c r="D64" s="42" t="n"/>
      <c r="E64" s="41" t="n"/>
      <c r="F64" s="41" t="n"/>
    </row>
    <row r="65">
      <c r="B65" s="41">
        <f>1+B64</f>
        <v/>
      </c>
      <c r="C65" s="43" t="inlineStr">
        <is>
          <t xml:space="preserve">Полотно нетканое геотекстильное (Дорнит) марки ГИДРОСПАН 400/4,20, паспорт качества №108 от 10.05.2022 г., </t>
        </is>
      </c>
      <c r="D65" s="42" t="n"/>
      <c r="E65" s="41" t="n"/>
      <c r="F65" s="41" t="n"/>
    </row>
    <row r="66" customFormat="1" s="44">
      <c r="B66" s="41">
        <f>1+B65</f>
        <v/>
      </c>
      <c r="C66" s="43" t="inlineStr">
        <is>
          <t>АОСР № ГП/135 Устройство слоя песка под покрытие Тип 3</t>
        </is>
      </c>
      <c r="D66" s="42" t="inlineStr"/>
      <c r="E66" s="41" t="inlineStr">
        <is>
          <t>"07" июня 2022 г.</t>
        </is>
      </c>
      <c r="F66" s="41" t="n"/>
    </row>
    <row r="67">
      <c r="B67" s="41">
        <f>1+B66</f>
        <v/>
      </c>
      <c r="C67" s="43" t="inlineStr">
        <is>
          <t>Исполнительная схема№ ГП/135 "Устройство слоя песка под покрытие Тип 3"</t>
        </is>
      </c>
      <c r="D67" s="42" t="n"/>
      <c r="E67" s="41" t="n"/>
      <c r="F67" s="41" t="n"/>
    </row>
    <row r="68" customFormat="1" s="45">
      <c r="B68" s="41">
        <f>1+B67</f>
        <v/>
      </c>
      <c r="C68" s="43" t="inlineStr">
        <is>
          <t>Песок природный для строительных работ, паспорт №1/21 от 16.04.2022 г., сертификат соответствия №РОСС RU.НВ61.Н02148 срок действия с 10.03.2020 по 09.03.2023 г.</t>
        </is>
      </c>
      <c r="D68" s="42" t="n"/>
      <c r="E68" s="41" t="n"/>
      <c r="F68" s="41" t="n"/>
    </row>
    <row r="69">
      <c r="B69" s="41">
        <f>1+B68</f>
        <v/>
      </c>
      <c r="C69" s="43" t="inlineStr">
        <is>
          <t>АОСР № ГП/136 Устройство слоя из геотекстиля под покрытие Тип 3</t>
        </is>
      </c>
      <c r="D69" s="42" t="inlineStr"/>
      <c r="E69" s="41" t="inlineStr">
        <is>
          <t>"08" июня 2022 г.</t>
        </is>
      </c>
      <c r="F69" s="41" t="n"/>
    </row>
    <row r="70" customFormat="1" s="44">
      <c r="B70" s="41">
        <f>1+B69</f>
        <v/>
      </c>
      <c r="C70" s="43" t="inlineStr">
        <is>
          <t>Исполнительная схема№ ГП/136 "Устройство слоя из геотекстиля под покрытие Тип 3"</t>
        </is>
      </c>
      <c r="D70" s="42" t="n"/>
      <c r="E70" s="41" t="n"/>
      <c r="F70" s="41" t="n"/>
    </row>
    <row r="71">
      <c r="B71" s="41">
        <f>1+B70</f>
        <v/>
      </c>
      <c r="C71" s="43" t="inlineStr">
        <is>
          <t xml:space="preserve">Полотно нетканое геотекстильное (Дорнит) марки ГИДРОСПАН 400/4,20, паспорт качества №108 от 10.05.2022 г., </t>
        </is>
      </c>
      <c r="D71" s="42" t="n"/>
      <c r="E71" s="41" t="n"/>
      <c r="F71" s="41" t="n"/>
    </row>
    <row r="72" customFormat="1" s="44">
      <c r="B72" s="41">
        <f>1+B71</f>
        <v/>
      </c>
      <c r="C72" s="43" t="inlineStr">
        <is>
          <t>АОСР № ГП/137 Устройство слоя из щебня 20-40 под покрытие Тип 3</t>
        </is>
      </c>
      <c r="D72" s="42" t="inlineStr"/>
      <c r="E72" s="41" t="inlineStr">
        <is>
          <t>"10" июня 2022 г.</t>
        </is>
      </c>
      <c r="F72" s="41" t="n"/>
    </row>
    <row r="73">
      <c r="B73" s="41">
        <f>1+B72</f>
        <v/>
      </c>
      <c r="C73" s="43" t="inlineStr">
        <is>
          <t>Исполнительная схема№ ГП/137 "Устройство слоя из щебня 20-40 под покрытие Тип 3"</t>
        </is>
      </c>
      <c r="D73" s="42" t="n"/>
      <c r="E73" s="41" t="n"/>
      <c r="F73" s="41" t="n"/>
    </row>
    <row r="74" customFormat="1" s="44">
      <c r="B74" s="41">
        <f>1+B73</f>
        <v/>
      </c>
      <c r="C74" s="43" t="inlineStr">
        <is>
          <t>Щебень известняковый фракции 20-40, паспорт качества №б/н от 27.02.2022 г., Сертификат соответствия №РОСС.RU.АГ25.Н12101 срок действия с 17.12.2021 по 16.12.2024 г.</t>
        </is>
      </c>
      <c r="D74" s="42" t="n"/>
      <c r="E74" s="41" t="n"/>
      <c r="F74" s="41" t="n"/>
    </row>
    <row r="75">
      <c r="B75" s="41">
        <f>1+B74</f>
        <v/>
      </c>
      <c r="C75" s="43" t="inlineStr">
        <is>
          <t>АОСР № ГП/138 Устройство слоя из ЦПС-а под покрытие Тип 3</t>
        </is>
      </c>
      <c r="D75" s="42" t="inlineStr"/>
      <c r="E75" s="41" t="inlineStr">
        <is>
          <t>"13" июня 2022 г.</t>
        </is>
      </c>
      <c r="F75" s="41" t="n"/>
    </row>
    <row r="76" customFormat="1" s="45">
      <c r="B76" s="41">
        <f>1+B75</f>
        <v/>
      </c>
      <c r="C76" s="43" t="inlineStr">
        <is>
          <t>Исполнительная схема№ ГП/138 "Устройство слоя из ЦПС-а под покрытие Тип 3"</t>
        </is>
      </c>
      <c r="D76" s="42" t="n"/>
      <c r="E76" s="41" t="n"/>
      <c r="F76" s="41" t="n"/>
    </row>
    <row r="77">
      <c r="B77" s="41">
        <f>1+B76</f>
        <v/>
      </c>
      <c r="C77" s="43" t="inlineStr">
        <is>
          <t>Смесь сухая цементно-песчаная, паспорт качества №55 от 29.04.2022 г., сертификат соответствия №РОСС RU.32001.04ИБФ1.ОСП18.17941 срок действия с 21.03.2022 по 20.03.2025 г.</t>
        </is>
      </c>
      <c r="D77" s="42" t="n"/>
      <c r="E77" s="41" t="n"/>
      <c r="F77" s="41" t="n"/>
    </row>
    <row r="78" customFormat="1" s="44">
      <c r="B78" s="41">
        <f>1+B77</f>
        <v/>
      </c>
      <c r="C78" s="43" t="inlineStr">
        <is>
          <t>АОСР № ГП/139 Устройство слоя из песка с цементом  Тип 3</t>
        </is>
      </c>
      <c r="D78" s="42" t="inlineStr"/>
      <c r="E78" s="41" t="inlineStr">
        <is>
          <t>"16" июня 2022 г.</t>
        </is>
      </c>
      <c r="F78" s="41" t="n"/>
    </row>
    <row r="79">
      <c r="B79" s="41">
        <f>1+B78</f>
        <v/>
      </c>
      <c r="C79" s="43" t="inlineStr">
        <is>
          <t>Исполнительная схема№ ГП/139 "Устройство слоя из песка с цементом  Тип 3"</t>
        </is>
      </c>
      <c r="D79" s="42" t="n"/>
      <c r="E79" s="41" t="n"/>
      <c r="F79" s="41" t="n"/>
    </row>
    <row r="80" customFormat="1" s="44">
      <c r="B80" s="41">
        <f>1+B79</f>
        <v/>
      </c>
      <c r="C80" s="43" t="inlineStr">
        <is>
          <t>Смесь сухая цементно-песчаная, паспорт качества №55 от 29.04.2022 г., сертификат соответствия №РОСС RU.32001.04ИБФ1.ОСП18.17941 срок действия с 21.03.2022 по 20.03.2025 г.</t>
        </is>
      </c>
      <c r="D80" s="42" t="n"/>
      <c r="E80" s="41" t="n"/>
      <c r="F80" s="41" t="n"/>
    </row>
    <row r="81">
      <c r="B81" s="41">
        <f>1+B80</f>
        <v/>
      </c>
      <c r="C81" s="43" t="inlineStr">
        <is>
          <t>АОСР № ГП/140 Устройство слоя из брусчатки Тип 3</t>
        </is>
      </c>
      <c r="D81" s="42" t="inlineStr"/>
      <c r="E81" s="41" t="inlineStr">
        <is>
          <t>"20" июня 2022 г.</t>
        </is>
      </c>
      <c r="F81" s="41" t="n"/>
    </row>
    <row r="82">
      <c r="C82" t="inlineStr">
        <is>
          <t>Исполнительная схема№ ГП/140 "Устройство слоя из брусчатки Тип 3"</t>
        </is>
      </c>
    </row>
    <row r="83">
      <c r="C83"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Смесь сухая цементно-песчаная, паспорт качества №55 от 29.04.2022 г., сертификат соответствия №РОСС RU.32001.04ИБФ1.ОСП18.17941 срок действия с 21.03.2022 по 20.03.2025 г.</t>
        </is>
      </c>
    </row>
    <row r="84">
      <c r="C84" t="inlineStr">
        <is>
          <t>АОСР № ГП/141 Уплотнение грунта под покрытие Тип 4</t>
        </is>
      </c>
      <c r="D84" t="inlineStr"/>
      <c r="E84" t="inlineStr">
        <is>
          <t>"03" июня 2022 г.</t>
        </is>
      </c>
    </row>
    <row r="85">
      <c r="C85" s="39" t="inlineStr">
        <is>
          <t>Исполнительная схема№ ГП/141 "Уплотнение грунта под покрытие Тип 4"</t>
        </is>
      </c>
      <c r="E85" s="38" t="n"/>
      <c r="F85" s="38" t="n"/>
    </row>
    <row r="86">
      <c r="C86" s="40" t="inlineStr">
        <is>
          <t xml:space="preserve">Полотно нетканое геотекстильное (Дорнит) марки ГИДРОСПАН 400/4,20, паспорт качества №108 от 10.05.2022 г., </t>
        </is>
      </c>
      <c r="D86" s="40" t="n"/>
      <c r="E86" s="38" t="n"/>
      <c r="F86" s="38" t="n"/>
    </row>
    <row r="87">
      <c r="C87" t="inlineStr">
        <is>
          <t>АОСР № ГП/142 Устройство слоя геотекстиля под покрытие Тип 4</t>
        </is>
      </c>
      <c r="D87" t="inlineStr"/>
      <c r="E87" s="38" t="inlineStr">
        <is>
          <t>"06" июня 2022 г.</t>
        </is>
      </c>
      <c r="F87" s="38" t="n"/>
    </row>
    <row r="88">
      <c r="C88" t="inlineStr">
        <is>
          <t>Исполнительная схема№ ГП/142 "Устройство слоя геотекстиля под покрытие Тип 4"</t>
        </is>
      </c>
      <c r="E88" s="38" t="n"/>
      <c r="F88" s="38" t="n"/>
    </row>
    <row r="89">
      <c r="C89" t="inlineStr">
        <is>
          <t xml:space="preserve">Полотно нетканое геотекстильное (Дорнит) марки ГИДРОСПАН 400/4,20, паспорт качества №108 от 10.05.2022 г., </t>
        </is>
      </c>
      <c r="E89" s="38" t="n"/>
      <c r="F89" s="38" t="n"/>
    </row>
    <row r="90">
      <c r="C90" s="39" t="inlineStr">
        <is>
          <t>АОСР № ГП/143 Устройство слоя песка под покрытие Тип 4</t>
        </is>
      </c>
      <c r="D90" t="inlineStr"/>
      <c r="E90" s="38" t="inlineStr">
        <is>
          <t>"07" июня 2022 г.</t>
        </is>
      </c>
      <c r="F90" s="38" t="n"/>
    </row>
    <row r="91">
      <c r="C91" s="40" t="inlineStr">
        <is>
          <t>Исполнительная схема№ ГП/143 "Устройство слоя песка под покрытие Тип 4"</t>
        </is>
      </c>
      <c r="D91" s="40" t="n"/>
      <c r="E91" s="38" t="n"/>
      <c r="F91" s="38" t="n"/>
    </row>
    <row r="92">
      <c r="C92" t="inlineStr">
        <is>
          <t>Песок природный для строительных работ, паспорт №1/21 от 16.04.2022 г., сертификат соответствия №РОСС RU.НВ61.Н02148 срок действия с 10.03.2020 по 09.03.2023 г.</t>
        </is>
      </c>
      <c r="E92" s="38" t="n"/>
      <c r="F92" s="38" t="n"/>
    </row>
    <row r="93">
      <c r="C93" t="inlineStr">
        <is>
          <t>АОСР № ГП/144 Устройство слоя из геотекстиля под покрытие Тип 4</t>
        </is>
      </c>
      <c r="D93" t="inlineStr"/>
      <c r="E93" s="38" t="inlineStr">
        <is>
          <t>"08" июня 2022 г.</t>
        </is>
      </c>
      <c r="F93" s="38" t="n"/>
    </row>
    <row r="94">
      <c r="C94" t="inlineStr">
        <is>
          <t>Исполнительная схема№ ГП/144 "Устройство слоя из геотекстиля под покрытие Тип 4"</t>
        </is>
      </c>
    </row>
    <row r="95">
      <c r="C95" t="inlineStr">
        <is>
          <t xml:space="preserve">Полотно нетканое геотекстильное (Дорнит) марки ГИДРОСПАН 400/4,20, паспорт качества №108 от 10.05.2022 г., </t>
        </is>
      </c>
    </row>
    <row r="96">
      <c r="C96" t="inlineStr">
        <is>
          <t>АОСР № ГП/145 Устройство слоя из щебня 20-40 под покрытие Тип 4</t>
        </is>
      </c>
      <c r="D96" t="inlineStr"/>
      <c r="E96" t="inlineStr">
        <is>
          <t>"10" июня 2022 г.</t>
        </is>
      </c>
    </row>
    <row r="97">
      <c r="C97" t="inlineStr">
        <is>
          <t>Исполнительная схема№ ГП/145 "Устройство слоя из щебня 20-40 под покрытие Тип 4"</t>
        </is>
      </c>
    </row>
    <row r="98">
      <c r="C98" t="inlineStr">
        <is>
          <t>Щебень известняковый фракции 20-40, паспорт качества №б/н от 27.02.2022 г., Сертификат соответствия №РОСС.RU.АГ25.Н12101 срок действия с 17.12.2021 по 16.12.2024 г.</t>
        </is>
      </c>
    </row>
    <row r="99">
      <c r="C99" t="inlineStr">
        <is>
          <t>АОСР № ГП/146 Устройство слоя из ЦПС-а под покрытие Тип 4</t>
        </is>
      </c>
      <c r="D99" t="inlineStr"/>
      <c r="E99" t="inlineStr">
        <is>
          <t>"13" июня 2022 г.</t>
        </is>
      </c>
    </row>
    <row r="100">
      <c r="C100" t="inlineStr">
        <is>
          <t>Исполнительная схема№ ГП/146 "Устройство слоя из ЦПС-а под покрытие Тип 4"</t>
        </is>
      </c>
    </row>
    <row r="101">
      <c r="C101" t="inlineStr">
        <is>
          <t>Смесь сухая цементно-песчаная, паспорт качества №55 от 29.04.2022 г., сертификат соответствия №РОСС RU.32001.04ИБФ1.ОСП18.17941 срок действия с 21.03.2022 по 20.03.2025 г.</t>
        </is>
      </c>
    </row>
    <row r="102">
      <c r="C102" t="inlineStr">
        <is>
          <t>АОСР № ГП/147 Устройство слоя из песка с цементом  Тип 4</t>
        </is>
      </c>
      <c r="D102" t="inlineStr"/>
      <c r="E102" t="inlineStr">
        <is>
          <t>"16" июня 2022 г.</t>
        </is>
      </c>
    </row>
    <row r="103">
      <c r="C103" t="inlineStr">
        <is>
          <t>Исполнительная схема№ ГП/147 "Устройство слоя из песка с цементом  Тип 4"</t>
        </is>
      </c>
    </row>
    <row r="104">
      <c r="C104" t="inlineStr">
        <is>
          <t>Смесь сухая цементно-песчаная, паспорт качества №55 от 29.04.2022 г., сертификат соответствия №РОСС RU.32001.04ИБФ1.ОСП18.17941 срок действия с 21.03.2022 по 20.03.2025 г.</t>
        </is>
      </c>
    </row>
    <row r="105">
      <c r="C105" t="inlineStr">
        <is>
          <t>АОСР № ГП/148 Устройство слоя из брусчатки Тип 4</t>
        </is>
      </c>
      <c r="D105" t="inlineStr"/>
      <c r="E105" t="inlineStr">
        <is>
          <t>"20" июня 2022 г.</t>
        </is>
      </c>
    </row>
    <row r="106">
      <c r="C106" t="inlineStr">
        <is>
          <t>Исполнительная схема№ ГП/148 "Устройство слоя из брусчатки Тип 4"</t>
        </is>
      </c>
    </row>
    <row r="107">
      <c r="C107"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Смесь сухая цементно-песчаная, паспорт качества №55 от 29.04.2022 г., сертификат соответствия №РОСС RU.32001.04ИБФ1.ОСП18.17941 срок действия с 21.03.2022 по 20.03.2025 г.</t>
        </is>
      </c>
    </row>
    <row r="108">
      <c r="C108" t="inlineStr">
        <is>
          <t>АОСР № ГП/149 Уплотнение слоя грунта под покрытие Тип 5</t>
        </is>
      </c>
      <c r="D108" t="inlineStr"/>
      <c r="E108" t="inlineStr">
        <is>
          <t>"03" мая 2022 г.</t>
        </is>
      </c>
    </row>
    <row r="109">
      <c r="C109" t="inlineStr">
        <is>
          <t>Исполнительная схема№ ГП/149 "Уплотнение грунта под покрытие Тип 5"</t>
        </is>
      </c>
    </row>
    <row r="110">
      <c r="C110" t="inlineStr">
        <is>
          <t xml:space="preserve">Полотно нетканое геотекстильное (Дорнит) марки ГИДРОСПАН 400/4,20, паспорт качества №108 от 10.05.2022 г., </t>
        </is>
      </c>
    </row>
    <row r="111">
      <c r="C111" t="inlineStr">
        <is>
          <t>АОСР № ГП/150 Устройство слоя геотекстиля под покрытие Тип 5</t>
        </is>
      </c>
      <c r="D111" t="inlineStr"/>
      <c r="E111" t="inlineStr">
        <is>
          <t>"10" мая 2022 г.</t>
        </is>
      </c>
    </row>
    <row r="112">
      <c r="C112" t="inlineStr">
        <is>
          <t>Исполнительная схема№ ГП/150 "Устройство слоя геотекстиля под покрытие Тип 5"</t>
        </is>
      </c>
    </row>
    <row r="113">
      <c r="C113" t="inlineStr">
        <is>
          <t xml:space="preserve">Полотно нетканое геотекстильное (Дорнит) марки ГИДРОСПАН 400/4,20, паспорт качества №108 от 10.05.2022 г., </t>
        </is>
      </c>
    </row>
    <row r="114">
      <c r="C114" t="inlineStr">
        <is>
          <t>АОСР № ГП/151 Устройство слоя песка под покрытие Тип 5</t>
        </is>
      </c>
      <c r="D114" t="inlineStr"/>
      <c r="E114" t="inlineStr">
        <is>
          <t>"11" мая 2022 г.</t>
        </is>
      </c>
    </row>
    <row r="115">
      <c r="C115" t="inlineStr">
        <is>
          <t>Исполнительная схема№ ГП/151 "Устройство слоя песка под покрытие Тип 5"</t>
        </is>
      </c>
    </row>
    <row r="116">
      <c r="C116" t="inlineStr">
        <is>
          <t>Песок природный для строительных работ, паспорт №1/21 от 16.04.2022 г., сертификат соответствия №РОСС RU.НВ61.Н02148 срок действия с 10.03.2020 по 09.03.2023 г.</t>
        </is>
      </c>
    </row>
    <row r="117">
      <c r="C117" t="inlineStr">
        <is>
          <t>АОСР № ГП/152 Устройство слоя из бетона под покрытие Тип 5</t>
        </is>
      </c>
      <c r="D117" t="inlineStr"/>
      <c r="E117" t="inlineStr">
        <is>
          <t>"28" мая 2022 г.</t>
        </is>
      </c>
    </row>
    <row r="118">
      <c r="C118" t="inlineStr">
        <is>
          <t>Исполнительная схема№ ГП/152 "Устройство из бетона под покрытие Тип 5"</t>
        </is>
      </c>
    </row>
    <row r="119">
      <c r="C119" t="inlineStr">
        <is>
          <t>Смесь бетонная БСТ В15 П4 F150 W4,  Документ о качестве бетонной смеси №5798, №5813, №5827, №5829, №5852, №5858, №5861 от 27.05.2022 г., №5868, №5871, №5875, №5878, №5880, №5881, №5885 от 28.05.2022 г.</t>
        </is>
      </c>
    </row>
    <row r="120">
      <c r="C120" t="inlineStr">
        <is>
          <t>АОСР № ГП/153 Устройство слоя из ЦПС под покрытие Тип 5</t>
        </is>
      </c>
      <c r="D120" t="inlineStr"/>
      <c r="E120" t="inlineStr">
        <is>
          <t>"13" июня 2022 г.</t>
        </is>
      </c>
    </row>
    <row r="121">
      <c r="C121" t="inlineStr">
        <is>
          <t>Исполнительная схема№ ГП/153 "Устройство слоя из ЦПС под покрытие Тип 5"</t>
        </is>
      </c>
    </row>
    <row r="122">
      <c r="C122" t="inlineStr">
        <is>
          <t>Смесь сухая цементно-песчаная, паспорт качества №55 от 29.04.2022 г., сертификат соответствия №РОСС RU.32001.04ИБФ1.ОСП18.17941 срок действия с 21.03.2022 по 20.03.2025 г.</t>
        </is>
      </c>
    </row>
    <row r="123">
      <c r="C123" t="inlineStr">
        <is>
          <t>АОСР № ГП/154 Устройство слоя из брусчатки под покрытие Тип 5</t>
        </is>
      </c>
      <c r="D123" t="inlineStr"/>
      <c r="E123" t="inlineStr">
        <is>
          <t>"16" июня 2022 г.</t>
        </is>
      </c>
    </row>
    <row r="124">
      <c r="C124" t="inlineStr">
        <is>
          <t>Исполнительная схема№ ГП/154 "Устройство слоя из брусчатки под покрытие Тип 5"</t>
        </is>
      </c>
    </row>
    <row r="125">
      <c r="C125"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Смесь сухая цементно-песчаная, паспорт качества №55 от 29.04.2022 г., сертификат соответствия №РОСС RU.32001.04ИБФ1.ОСП18.17941 срок действия с 21.03.2022 по 20.03.2025 г.</t>
        </is>
      </c>
    </row>
    <row r="126">
      <c r="C126" t="inlineStr">
        <is>
          <t>АОСР № ГП/155 Уплотнение грунта под покрытие Тип 6</t>
        </is>
      </c>
      <c r="D126" t="inlineStr"/>
      <c r="E126" t="inlineStr">
        <is>
          <t>"03" июня 2022 г.</t>
        </is>
      </c>
    </row>
    <row r="127">
      <c r="C127" t="inlineStr">
        <is>
          <t>Исполнительная схема№ ГП/155 "Уплотнение грунта под покрытие Тип 6"</t>
        </is>
      </c>
    </row>
    <row r="128">
      <c r="C128" t="inlineStr">
        <is>
          <t xml:space="preserve">Полотно нетканое геотекстильное (Дорнит) марки ГИДРОСПАН 400/4,20, паспорт качества №108 от 10.05.2022 г., </t>
        </is>
      </c>
    </row>
    <row r="129">
      <c r="C129" t="inlineStr">
        <is>
          <t>АОСР № ГП/156 Устройство слоя геотекстиля под покрытие Тип 6</t>
        </is>
      </c>
      <c r="D129" t="inlineStr"/>
      <c r="E129" t="inlineStr">
        <is>
          <t>"04" июня 2022 г.</t>
        </is>
      </c>
    </row>
    <row r="130">
      <c r="C130" t="inlineStr">
        <is>
          <t>Исполнительная схема№ ГП/156 "Устройство слоя геотекстиля под покрытие Тип 6"</t>
        </is>
      </c>
    </row>
    <row r="131">
      <c r="C131" t="inlineStr">
        <is>
          <t xml:space="preserve">Полотно нетканое геотекстильное (Дорнит) марки ГИДРОСПАН 400/4,20, паспорт качества №108 от 10.05.2022 г., </t>
        </is>
      </c>
    </row>
    <row r="132">
      <c r="C132" t="inlineStr">
        <is>
          <t>АОСР № ГП/157 Устройство слоя песка под покрытие Тип 6</t>
        </is>
      </c>
      <c r="D132" t="inlineStr"/>
      <c r="E132" t="inlineStr">
        <is>
          <t>"06" июня 2022 г.</t>
        </is>
      </c>
    </row>
    <row r="133">
      <c r="C133" t="inlineStr">
        <is>
          <t>Исполнительная схема№ ГП/157 "Устройство слоя песка под покрытие Тип 6"</t>
        </is>
      </c>
    </row>
    <row r="134">
      <c r="C134" t="inlineStr">
        <is>
          <t>Песок природный для строительных работ, паспорт №1/21 от 16.04.2022 г., сертификат соответствия №РОСС RU.НВ61.Н02148 срок действия с 10.03.2020 по 09.03.2023 г.</t>
        </is>
      </c>
    </row>
    <row r="135">
      <c r="C135" t="inlineStr">
        <is>
          <t>АОСР № ГП/158 Устройство слоя из геотекстиля под покрытие Тип 6</t>
        </is>
      </c>
      <c r="D135" t="inlineStr"/>
      <c r="E135" t="inlineStr">
        <is>
          <t>"08" июня 2022 г.</t>
        </is>
      </c>
    </row>
    <row r="136">
      <c r="C136" t="inlineStr">
        <is>
          <t>Исполнительная схема№ ГП/158 "Устройство слоя из геотекстиля под покрытие Тип 6"</t>
        </is>
      </c>
    </row>
    <row r="137">
      <c r="C137" t="inlineStr">
        <is>
          <t xml:space="preserve">Полотно нетканое геотекстильное (Дорнит) марки ГИДРОСПАН 400/4,20, паспорт качества №108 от 10.05.2022 г., </t>
        </is>
      </c>
    </row>
    <row r="138">
      <c r="C138" t="inlineStr">
        <is>
          <t>АОСР № ГП/159 Устройство слоя из щебня под покрытие Тип 6</t>
        </is>
      </c>
      <c r="D138" t="inlineStr"/>
      <c r="E138" t="inlineStr">
        <is>
          <t>"10" июня 2022 г.</t>
        </is>
      </c>
    </row>
    <row r="139">
      <c r="C139" t="inlineStr">
        <is>
          <t>Исполнительная схема№ ГП/159 "Устройство слоя из щебня под покрытие Тип 6"</t>
        </is>
      </c>
    </row>
    <row r="140">
      <c r="C140" t="inlineStr">
        <is>
          <t>Щебень известняковый фракции 20-40, паспорт качества №б/н от 27.02.2022 г., Сертификат соответствия №РОСС.RU.АГ25.Н12101 срок действия с 17.12.2021 по 16.12.2024 г.</t>
        </is>
      </c>
    </row>
    <row r="141">
      <c r="C141" t="inlineStr">
        <is>
          <t>АОСР № ГП/160 Устройство слоя из ЦПС под покрытие Тип 6</t>
        </is>
      </c>
      <c r="D141" t="inlineStr"/>
      <c r="E141" t="inlineStr">
        <is>
          <t>"10" июня 2022 г.</t>
        </is>
      </c>
    </row>
    <row r="142">
      <c r="C142" t="inlineStr">
        <is>
          <t>Исполнительная схема№ ГП/160 "Устройство слоя из ЦПС под покрытие Тип 6"</t>
        </is>
      </c>
    </row>
    <row r="143">
      <c r="C143" t="inlineStr">
        <is>
          <t>Смесь сухая цементно-песчаная, паспорт качества №55 от 29.04.2022 г., сертификат соответствия №РОСС RU.32001.04ИБФ1.ОСП18.17941 срок действия с 21.03.2022 по 20.03.2025 г.</t>
        </is>
      </c>
    </row>
    <row r="144">
      <c r="C144" t="inlineStr">
        <is>
          <t>АОСР № ГП/161 Устройство слоя из брусчатки Тип 6</t>
        </is>
      </c>
      <c r="D144" t="inlineStr"/>
      <c r="E144" t="inlineStr">
        <is>
          <t>"13" июня 2022 г.</t>
        </is>
      </c>
    </row>
    <row r="145">
      <c r="C145" t="inlineStr">
        <is>
          <t>Исполнительная схема№ ГП/161 "Устройство слоя из брусчатки Тип 6" на 2 л.</t>
        </is>
      </c>
    </row>
    <row r="146">
      <c r="C146" t="inlineStr">
        <is>
          <t>Плиты бетонные тротуарные 200х100х80, документ о качестве №4839/Б от 08.06.2022., №4800/Б от 07.06.2022., №4799/Б от 07.06.2022., №4769/Б от 07.06.2022., №4697/Б от 06.06.2022.; Смесь сухая цементно-песчаная, паспорт качества №55 от 29.04.2022 г., сертификат соответствия №РОСС RU.32001.04ИБФ1.ОСП18.17941 срок действия с 21.03.2022 по 20.03.2025 г.</t>
        </is>
      </c>
    </row>
    <row r="147">
      <c r="C147" t="inlineStr">
        <is>
          <t>АОСР № ГП/162 Уплотнение грунта под покрытие Тип 7</t>
        </is>
      </c>
      <c r="D147" t="inlineStr"/>
      <c r="E147" t="inlineStr">
        <is>
          <t>"03" июня 2022 г.</t>
        </is>
      </c>
    </row>
    <row r="148">
      <c r="C148" t="inlineStr">
        <is>
          <t>Исполнительная схема№ ГП/162 "Уплотнение грунта под покрытие Тип 7"</t>
        </is>
      </c>
    </row>
    <row r="149">
      <c r="C149" t="inlineStr">
        <is>
          <t xml:space="preserve">Полотно нетканое геотекстильное (Дорнит) марки ГИДРОСПАН 400/4,20, паспорт качества №108 от 10.05.2022 г., </t>
        </is>
      </c>
    </row>
    <row r="150">
      <c r="C150" t="inlineStr">
        <is>
          <t>АОСР № ГП/163 Устройство слоя геотекстиля под покрытие Тип 7</t>
        </is>
      </c>
      <c r="D150" t="inlineStr"/>
      <c r="E150" t="inlineStr">
        <is>
          <t>"06" июня 2022 г.</t>
        </is>
      </c>
    </row>
    <row r="151">
      <c r="C151" t="inlineStr">
        <is>
          <t>Исполнительная схема№ ГП/163 "Устройство слоя геотекстиля под покрытие Тип 7"</t>
        </is>
      </c>
    </row>
    <row r="152">
      <c r="C152" t="inlineStr">
        <is>
          <t xml:space="preserve">Полотно нетканое геотекстильное (Дорнит) марки ГИДРОСПАН 400/4,20, паспорт качества №108 от 10.05.2022 г., </t>
        </is>
      </c>
    </row>
    <row r="153">
      <c r="C153" t="inlineStr">
        <is>
          <t>АОСР № ГП/164 Устройство слоя песка под покрытие Тип 7</t>
        </is>
      </c>
      <c r="D153" t="inlineStr"/>
      <c r="E153" t="inlineStr">
        <is>
          <t>"08" июня 2022 г.</t>
        </is>
      </c>
    </row>
    <row r="154">
      <c r="C154" t="inlineStr">
        <is>
          <t>Исполнительная схема№ ГП/164 "Устройство слоя песка под покрытие Тип 7"</t>
        </is>
      </c>
    </row>
    <row r="155">
      <c r="C155" t="inlineStr">
        <is>
          <t>Песок природный для строительных работ, паспорт №1/21 от 16.04.2022 г., сертификат соответствия №РОСС RU.НВ61.Н02148 срок действия с 10.03.2020 по 09.03.2023 г.</t>
        </is>
      </c>
    </row>
    <row r="156">
      <c r="C156" t="inlineStr">
        <is>
          <t>АОСР № ГП/165 Устройство слоя из геотекстиля под покрытие Тип 7</t>
        </is>
      </c>
      <c r="D156" t="inlineStr"/>
      <c r="E156" t="inlineStr">
        <is>
          <t>"10" июня 2022 г.</t>
        </is>
      </c>
    </row>
    <row r="157">
      <c r="C157" t="inlineStr">
        <is>
          <t>Исполнительная схема№ ГП/165 "Устройство слоя из геотекстиля под покрытие Тип 7"</t>
        </is>
      </c>
    </row>
    <row r="158">
      <c r="C158" t="inlineStr">
        <is>
          <t xml:space="preserve">Полотно нетканое геотекстильное (Дорнит) марки ГИДРОСПАН 400/4,20, паспорт качества №108 от 10.05.2022 г., </t>
        </is>
      </c>
    </row>
    <row r="159">
      <c r="C159" t="inlineStr">
        <is>
          <t>АОСР № ГП/166 Устройство слоя из щебня под покрытие Тип 7</t>
        </is>
      </c>
      <c r="D159" t="inlineStr"/>
      <c r="E159" t="inlineStr">
        <is>
          <t>"13" июня 2022 г.</t>
        </is>
      </c>
    </row>
    <row r="160">
      <c r="C160" t="inlineStr">
        <is>
          <t>Исполнительная схема№ ГП/166 "Устройство слоя из щебня под покрытие Тип 7"</t>
        </is>
      </c>
    </row>
    <row r="161">
      <c r="C161" t="inlineStr">
        <is>
          <t>Щебень известняковый фракции 20-40, паспорт качества №б/н от 27.02.2022 г., Сертификат соответствия №РОСС.RU.АГ25.Н12101 срок действия с 17.12.2021 по 16.12.2024 г.</t>
        </is>
      </c>
    </row>
    <row r="162">
      <c r="C162" t="inlineStr">
        <is>
          <t>АОСР № ГП/167 Устройство слоя из ЦПС под покрытие Тип 7</t>
        </is>
      </c>
      <c r="D162" t="inlineStr"/>
      <c r="E162" t="inlineStr">
        <is>
          <t>"13" июня 2022 г.</t>
        </is>
      </c>
    </row>
    <row r="163">
      <c r="C163" t="inlineStr">
        <is>
          <t>Исполнительная схема№ ГП/167 "Устройство слоя из ЦПС под покрытие Тип 7"</t>
        </is>
      </c>
    </row>
    <row r="164">
      <c r="C164" t="inlineStr">
        <is>
          <t>Смесь сухая цементно-песчаная, паспорт качества №55 от 29.04.2022 г., сертификат соответствия №РОСС RU.32001.04ИБФ1.ОСП18.17941 срок действия с 21.03.2022 по 20.03.2025 г.</t>
        </is>
      </c>
    </row>
    <row r="165">
      <c r="C165" t="inlineStr">
        <is>
          <t>АОСР № ГП/168 Устройство слоя из брусчатки Тип 7</t>
        </is>
      </c>
      <c r="D165" t="inlineStr"/>
      <c r="E165" t="inlineStr">
        <is>
          <t>"15" июня 2022 г.</t>
        </is>
      </c>
    </row>
    <row r="166">
      <c r="C166" t="inlineStr">
        <is>
          <t>Исполнительная схема№ ГП/168 "Устройство слоя из брусчатки Тип 7"</t>
        </is>
      </c>
    </row>
    <row r="167">
      <c r="C167"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Смесь сухая цементно-песчаная, паспорт качества №55 от 29.04.2022 г., сертификат соответствия №РОСС RU.32001.04ИБФ1.ОСП18.17941 срок действия с 21.03.2022 по 20.03.2025 г.</t>
        </is>
      </c>
    </row>
    <row r="168">
      <c r="C168" t="inlineStr">
        <is>
          <t>АОСР № ГП/169 Устройство тротуарной плитки на лестницах Тип 8</t>
        </is>
      </c>
      <c r="D168" t="inlineStr"/>
      <c r="E168" t="inlineStr">
        <is>
          <t>"24" июня 2022 г.</t>
        </is>
      </c>
    </row>
    <row r="169">
      <c r="C169" t="inlineStr">
        <is>
          <t>Исполнительная схема№ ГП/169 "Устройство тротуарной плитки на лестницах Тип 8"</t>
        </is>
      </c>
    </row>
    <row r="170">
      <c r="C170" t="inlineStr">
        <is>
          <t>Тротуарная плитка Паркет 300х300х30, паспорт качества №б/н, сертификат качества №РОСС RU.32396.04НТЦ0.ОС02.00603 срок действия с 10.11.2021 по 09.11.2024 г.; Смесь сухая цементно-песчаная марка М-150, паспорт качества №55 от 09.04.2022 г., сертификат соответствия №РОСС RU.32001.04ИБФ1.ОСП18.17941 срок действия с 21.03.2022 по 20.03.2025 г.</t>
        </is>
      </c>
    </row>
    <row r="171">
      <c r="C171" t="inlineStr">
        <is>
          <t>АОСР № ГП/170 Устройство монтажного слоя песка и цемента под покрытие Тип 9</t>
        </is>
      </c>
      <c r="D171" t="inlineStr"/>
      <c r="E171" t="inlineStr">
        <is>
          <t>"09" августа 2022 г.</t>
        </is>
      </c>
    </row>
    <row r="172">
      <c r="C172" t="inlineStr">
        <is>
          <t>Исполнительная схема № ГП/170 "Устройство монтажного слоя песка и цемента под покрытие Тип 9"</t>
        </is>
      </c>
    </row>
    <row r="173">
      <c r="C173" t="inlineStr">
        <is>
          <t>Смесь сухая цементно-песчаная, паспорт качества №55 от 29.04.2022 г., сертификат соответствия №РОСС RU.32001.04ИБФ1.ОСП18.17941 срок действия с 21.03.2022 по 20.03.2025 г.</t>
        </is>
      </c>
    </row>
    <row r="174">
      <c r="C174" t="inlineStr">
        <is>
          <t>АОСР № ГП/171 Устройство брусчатки Тип 9</t>
        </is>
      </c>
      <c r="D174" t="inlineStr"/>
      <c r="E174" t="inlineStr">
        <is>
          <t>"13" августа 2022 г.</t>
        </is>
      </c>
    </row>
    <row r="175">
      <c r="C175" t="inlineStr">
        <is>
          <t>Исполнительная схема № ГП/171 "Устройство брусчатки Тип 9"</t>
        </is>
      </c>
    </row>
    <row r="176">
      <c r="C176" t="inlineStr">
        <is>
          <t>Брусчатка 200х100х60, паспорт качества №б/н, сертификат соответствия №РОСС RU.32396.04НТЦ0.ОС02.00603 срок действия с 10.11.2021 по 09.11.2024 г.; Смесь сухая цементно-песчаная марка М-150, паспорт качества №55 от 09.04.2022 г., сертификат соответствия №РОСС RU.32001.04ИБФ1.ОСП18.17941 срок действия с 21.03.2022 по 20.03.2025 г.</t>
        </is>
      </c>
    </row>
    <row r="177">
      <c r="C177" t="inlineStr">
        <is>
          <t>АОСР № ГП/172 Уплотнение грунта под покрытие Тип 10</t>
        </is>
      </c>
      <c r="D177" t="inlineStr"/>
      <c r="E177" t="inlineStr">
        <is>
          <t>"03" июня 2022 г.</t>
        </is>
      </c>
    </row>
    <row r="178">
      <c r="C178" t="inlineStr">
        <is>
          <t>Исполнительная схема № ГП/172 "Уплотнение грунта под покрытие Тип 10"</t>
        </is>
      </c>
    </row>
    <row r="179">
      <c r="C179" t="inlineStr">
        <is>
          <t xml:space="preserve">Полотно нетканое геотекстильное (Дорнит) марки ГИДРОСПАН 400/4,20, паспорт качества №108 от 10.05.2022 г., </t>
        </is>
      </c>
    </row>
    <row r="180">
      <c r="C180" t="inlineStr">
        <is>
          <t>АОСР № ГП/173 Устройство слоя геотекстиля под покрытие Тип 10</t>
        </is>
      </c>
      <c r="D180" t="inlineStr"/>
      <c r="E180" t="inlineStr">
        <is>
          <t>"06" июня 2022 г.</t>
        </is>
      </c>
    </row>
    <row r="181">
      <c r="C181" t="inlineStr">
        <is>
          <t>Исполнительная схема № ГП/173 "Устройство слоя геотекстиля под покрытие Тип 10"</t>
        </is>
      </c>
    </row>
    <row r="182">
      <c r="C182" t="inlineStr">
        <is>
          <t xml:space="preserve">Полотно нетканое геотекстильное (Дорнит) марки ГИДРОСПАН 400/4,20, паспорт качества №108 от 10.05.2022 г., </t>
        </is>
      </c>
    </row>
    <row r="183">
      <c r="C183" t="inlineStr">
        <is>
          <t>АОСР № ГП/174 Устройство слоя песка под покрытие Тип 10</t>
        </is>
      </c>
      <c r="D183" t="inlineStr"/>
      <c r="E183" t="inlineStr">
        <is>
          <t>"08" июня 2022 г.</t>
        </is>
      </c>
    </row>
    <row r="184">
      <c r="C184" t="inlineStr">
        <is>
          <t>Исполнительная схема № ГП/174 "Устройство слоя песка под покрытие Тип 10"</t>
        </is>
      </c>
    </row>
    <row r="185">
      <c r="C185" t="inlineStr">
        <is>
          <t>Песок природный для строительных работ, паспорт №1/21 от 16.04.2022 г., сертификат соответствия №РОСС RU.НВ61.Н02148 срок действия с 10.03.2020 по 09.03.2023 г.</t>
        </is>
      </c>
    </row>
    <row r="186">
      <c r="C186" t="inlineStr">
        <is>
          <t>АОСР № ГП/175 Устройство слоя из геотекстиля под покрытие Тип 10</t>
        </is>
      </c>
      <c r="D186" t="inlineStr"/>
      <c r="E186" t="inlineStr">
        <is>
          <t>"10" июня 2022 г.</t>
        </is>
      </c>
    </row>
    <row r="187">
      <c r="C187" t="inlineStr">
        <is>
          <t>Исполнительная схема № ГП/175 "Устройство слоя из геотекстиля под покрытие Тип 10"</t>
        </is>
      </c>
    </row>
    <row r="188">
      <c r="C188" t="inlineStr">
        <is>
          <t xml:space="preserve">Полотно нетканое геотекстильное (Дорнит) марки ГИДРОСПАН 400/4,20, паспорт качества №108 от 10.05.2022 г., </t>
        </is>
      </c>
    </row>
    <row r="189">
      <c r="C189" t="inlineStr">
        <is>
          <t>АОСР № ГП/176 Устройство слоя слоя из щебня 40-60 под покрытие Тип 10</t>
        </is>
      </c>
      <c r="D189" t="inlineStr"/>
      <c r="E189" t="inlineStr">
        <is>
          <t>"13" июня 2022 г.</t>
        </is>
      </c>
    </row>
    <row r="190">
      <c r="C190" t="inlineStr">
        <is>
          <t>Исполнительная схема № ГП/176 "Устройство слоя из щебня 40-60 под покрытие Тип 10"</t>
        </is>
      </c>
    </row>
    <row r="191">
      <c r="C191" t="inlineStr">
        <is>
          <t>Паспорт качества на щебень известняковый фракции 40-70, паспорт №б/н от 27.02.2022 г., Сертификат соответствия №РОСС.RU.АГ25.Н12101 срок действия с 17.12.2021 по 16.12.2024 г.</t>
        </is>
      </c>
    </row>
    <row r="192">
      <c r="C192" t="inlineStr">
        <is>
          <t>АОСР № ГП/177 Устройство слоя из щебня 20- 40 под покрытие Тип 10</t>
        </is>
      </c>
      <c r="D192" t="inlineStr"/>
      <c r="E192" t="inlineStr">
        <is>
          <t>"16" июня 2022 г.</t>
        </is>
      </c>
    </row>
    <row r="193">
      <c r="C193" t="inlineStr">
        <is>
          <t>Исполнительная схема № ГП/177 "Устройство слоя из щебня 20- 40 под покрытие Тип 10"</t>
        </is>
      </c>
    </row>
    <row r="194">
      <c r="C194" t="inlineStr">
        <is>
          <t>Щебень известняковый фракции 20-40, паспорт качества №б/н от 27.02.2022 г., Сертификат соответствия №РОСС.RU.АГ25.Н12101 срок действия с 17.12.2021 по 16.12.2024 г.</t>
        </is>
      </c>
    </row>
    <row r="195">
      <c r="C195" t="inlineStr">
        <is>
          <t>АОСР № ГП/178 Устройство слоя из битума под покрытие Тип 10</t>
        </is>
      </c>
      <c r="D195" t="inlineStr"/>
      <c r="E195" t="inlineStr">
        <is>
          <t>"17" июня 2022 г.</t>
        </is>
      </c>
    </row>
    <row r="196">
      <c r="C196" t="inlineStr">
        <is>
          <t>Исполнительная схема № ГП/178 "Устройство слоя из битума под покрытие Тип 10"</t>
        </is>
      </c>
    </row>
    <row r="197">
      <c r="C197" t="inlineStr">
        <is>
          <t>Битум нефтяной, паспорт продукции №90-1-08-14 от 03.06.2022 г., декларация о соответствии №ЕАЭС N RU Д-RU.АИ16.В.03915 срок действия с 02.03.2018 по 01.03.2023 г.</t>
        </is>
      </c>
    </row>
    <row r="198">
      <c r="C198" t="inlineStr">
        <is>
          <t>АОСР № ГП/179 Устройство слоя из асфальтобетона крупнозернистого под покрытие Тип 10</t>
        </is>
      </c>
      <c r="D198" t="inlineStr"/>
      <c r="E198" t="inlineStr">
        <is>
          <t>"20" июня 2022 г.</t>
        </is>
      </c>
    </row>
    <row r="199">
      <c r="C199" t="inlineStr">
        <is>
          <t>Исполнительная схема № ГП/179 "Устройство слоя из асфальтобетона крупнозернистого под покрытие Тип 10"</t>
        </is>
      </c>
    </row>
    <row r="200">
      <c r="C200" t="inlineStr">
        <is>
          <t>Крупнозернистая смесь для плотного асфальтобетоа тип Б марка II для нижнего слоя покрытия, паспорт №496 от 20.06.2022 г.</t>
        </is>
      </c>
    </row>
    <row r="201">
      <c r="C201" t="inlineStr">
        <is>
          <t>АОСР № ГП/180 Устройство слоя из асфальтобетона песчаного под покрытие Тип 10</t>
        </is>
      </c>
      <c r="D201" t="inlineStr"/>
      <c r="E201" t="inlineStr">
        <is>
          <t>"26" июня 2022 г.</t>
        </is>
      </c>
    </row>
    <row r="202">
      <c r="C202" t="inlineStr">
        <is>
          <t>Исполнительная схема № ГП/180 "Устройство слоя из асфальтобетона песчаного под покрытие Тип 10"</t>
        </is>
      </c>
    </row>
    <row r="203">
      <c r="C203" t="inlineStr">
        <is>
          <t>Песчаная асфальтобетонная смесь тип Д марки II для верхнего слоя покрытия, паспорт №582 от 26.06.2022 г.</t>
        </is>
      </c>
    </row>
    <row r="204">
      <c r="C204" t="inlineStr">
        <is>
          <t>АОСР № ГП/181 Уплотнение грунта под покрытие Тип 11</t>
        </is>
      </c>
      <c r="D204" t="inlineStr"/>
      <c r="E204" t="inlineStr">
        <is>
          <t>"03"  июля 2022 г.</t>
        </is>
      </c>
    </row>
    <row r="205">
      <c r="C205" t="inlineStr">
        <is>
          <t>Исполнительная схема № ГП/181 "Уплотнение грунта под покрытие Тип 11"</t>
        </is>
      </c>
    </row>
    <row r="206">
      <c r="C206" t="inlineStr">
        <is>
          <t xml:space="preserve">Полотно нетканое геотекстильное (Дорнит) марки ГИДРОСПАН 400/4,20, паспорт качества №108 от 10.05.2022 г., </t>
        </is>
      </c>
    </row>
    <row r="207">
      <c r="C207" t="inlineStr">
        <is>
          <t>АОСР № ГП/182 Устройство слоя геотекстиля под покрытие Тип 11</t>
        </is>
      </c>
      <c r="D207" t="inlineStr"/>
      <c r="E207" t="inlineStr">
        <is>
          <t>"05"  июля 2022 г.</t>
        </is>
      </c>
    </row>
    <row r="208">
      <c r="C208" t="inlineStr">
        <is>
          <t>Исполнительная схема № ГП/182 "Устройство слоя геотекстиля под покрытие Тип 11"</t>
        </is>
      </c>
    </row>
    <row r="209">
      <c r="C209" t="inlineStr">
        <is>
          <t xml:space="preserve">Полотно нетканое геотекстильное (Дорнит) марки ГИДРОСПАН 400/4,20, паспорт качества №108 от 10.05.2022 г., </t>
        </is>
      </c>
    </row>
    <row r="210">
      <c r="C210" t="inlineStr">
        <is>
          <t>АОСР № ГП/183 Устройство слоя песка под покрытие Тип 11</t>
        </is>
      </c>
      <c r="D210" t="inlineStr"/>
      <c r="E210" t="inlineStr">
        <is>
          <t>"06"  июля 2022 г.</t>
        </is>
      </c>
    </row>
    <row r="211">
      <c r="C211" t="inlineStr">
        <is>
          <t>Исполнительная схема № ГП/183 "Устройство слоя песка под покрытие Тип 11"</t>
        </is>
      </c>
    </row>
    <row r="212">
      <c r="C212" t="inlineStr">
        <is>
          <t>Песок природный для строительных работ, паспорт №1/21 от 16.04.2022 г., сертификат соответствия №РОСС RU.НВ61.Н02148 срок действия с 10.03.2020 по 09.03.2023 г.</t>
        </is>
      </c>
    </row>
    <row r="213">
      <c r="C213" t="inlineStr">
        <is>
          <t>АОСР № ГП/184 Устройство слоя из геотекстиля под покрытие Тип 11</t>
        </is>
      </c>
      <c r="D213" t="inlineStr"/>
      <c r="E213" t="inlineStr">
        <is>
          <t>"07" июля 2022 г.</t>
        </is>
      </c>
    </row>
    <row r="214">
      <c r="C214" t="inlineStr">
        <is>
          <t>Исполнительная схема № ГП/184 "Устройство слоя из геотекстиля под покрытие Тип 11"</t>
        </is>
      </c>
    </row>
    <row r="215">
      <c r="C215" t="inlineStr">
        <is>
          <t xml:space="preserve">Полотно нетканое геотекстильное (Дорнит) марки ГИДРОСПАН 400/4,20, паспорт качества №108 от 10.05.2022 г., </t>
        </is>
      </c>
    </row>
    <row r="216">
      <c r="C216" t="inlineStr">
        <is>
          <t>АОСР № ГП/185 Устройство слоя из щебня 40-60 под покрытие Тип 11</t>
        </is>
      </c>
      <c r="D216" t="inlineStr"/>
      <c r="E216" t="inlineStr">
        <is>
          <t>"09"  июля 2022 г.</t>
        </is>
      </c>
    </row>
    <row r="217">
      <c r="C217" t="inlineStr">
        <is>
          <t>Исполнительная схема № ГП/185 "Устройство слоя из щебня 40-60 под покрытие Тип 11"</t>
        </is>
      </c>
    </row>
    <row r="218">
      <c r="C218" t="inlineStr">
        <is>
          <t>Паспорт качества на щебень известняковый фракции 40-70, паспорт №б/н от 27.02.2022 г., Сертификат соответствия №РОСС.RU.АГ25.Н12101 срок действия с 17.12.2021 по 16.12.2024 г.</t>
        </is>
      </c>
    </row>
    <row r="219">
      <c r="C219" t="inlineStr">
        <is>
          <t>АОСР № ГП/186 Устройство слоя из щебня 20-40 под покрытие Тип 11</t>
        </is>
      </c>
      <c r="D219" t="inlineStr"/>
      <c r="E219" t="inlineStr">
        <is>
          <t>"10"  июля 2022 г.</t>
        </is>
      </c>
    </row>
    <row r="220">
      <c r="C220" t="inlineStr">
        <is>
          <t>Исполнительная схема № ГП/186 "Устройство слоя из щебня 20-40 под покрытие Тип 11"</t>
        </is>
      </c>
    </row>
    <row r="221">
      <c r="C221" t="inlineStr">
        <is>
          <t>Щебень известняковый фракции 20-40, паспорт качества №б/н от 27.02.2022 г., Сертификат соответствия №РОСС.RU.АГ25.Н12101 срок действия с 17.12.2021 по 16.12.2024 г.</t>
        </is>
      </c>
    </row>
    <row r="222">
      <c r="C222" t="inlineStr">
        <is>
          <t>АОСР № ГП/187 Устройство слоя из битума под покрытие Тип 11</t>
        </is>
      </c>
      <c r="D222" t="inlineStr"/>
      <c r="E222" t="inlineStr">
        <is>
          <t>"11" июля 2022 г.</t>
        </is>
      </c>
    </row>
    <row r="223">
      <c r="C223" t="inlineStr">
        <is>
          <t>Исполнительная схема № ГП/187 "Устройство слоя из битума под покрытие Тип 11"</t>
        </is>
      </c>
    </row>
    <row r="224">
      <c r="C224" t="inlineStr">
        <is>
          <t>Битум нефтяной, паспорт продукции №90-1-08-14 от 03.06.2022 г., декларация о соответствии №ЕАЭС N RU Д-RU.АИ16.В.03915 срок действия с 02.03.2018 по 01.03.2023 г.</t>
        </is>
      </c>
    </row>
    <row r="225">
      <c r="C225" t="inlineStr">
        <is>
          <t>АОСР № ГП/188 Устройство слоя из асфальтобетона крупнозернистого под покрытие Тип 11</t>
        </is>
      </c>
      <c r="D225" t="inlineStr"/>
      <c r="E225" t="inlineStr">
        <is>
          <t>"12" июля 2022 г.</t>
        </is>
      </c>
    </row>
    <row r="226">
      <c r="C226" t="inlineStr">
        <is>
          <t>Исполнительная схема № ГП/188 "Устройство слоя из асфальтобетона крупнозернистого под покрытие Тип 11"</t>
        </is>
      </c>
    </row>
    <row r="227">
      <c r="C227" t="inlineStr">
        <is>
          <t>Крупнозернистая смесь для плотного асфальтобетона тип Б марка II для нижнегослоя покрытия, паспорт №557 от 12.07.2022 г., сертификат соответствия №RU.МСС.186.366.37071 срок действия с 15.05.2022 по 15.05.2024 г.</t>
        </is>
      </c>
    </row>
    <row r="228">
      <c r="C228" t="inlineStr">
        <is>
          <t>АОСР № ГП/189 Устройство слоя из песчаного асфальтобетона   Тип 11</t>
        </is>
      </c>
      <c r="D228" t="inlineStr"/>
      <c r="E228" t="inlineStr">
        <is>
          <t>"16" июля 2022 г.</t>
        </is>
      </c>
    </row>
    <row r="229">
      <c r="C229" t="inlineStr">
        <is>
          <t>Исполнительная схема № ГП/189 "Устройство слоя из песчаного асфальтобетона  Тип 11"</t>
        </is>
      </c>
    </row>
    <row r="230">
      <c r="C230" t="inlineStr">
        <is>
          <t>Песчаная асфальтобетонная смесь тип Д марки II для верхнего слоя покрытия, паспорт №582 от 16.07.2022 г., сертификат соответствия №RU.МСС.186.366.36393 срок действия с 15.04.2021 по 15.04.2023 г.</t>
        </is>
      </c>
    </row>
    <row r="231">
      <c r="C231" t="inlineStr">
        <is>
          <t>АОСР № ГП/199 Устройство бетонной подготовки под водоотводный лоток Anmax.</t>
        </is>
      </c>
      <c r="D231" t="inlineStr"/>
      <c r="E231" t="inlineStr">
        <is>
          <t>"30" июня 2022 г.</t>
        </is>
      </c>
    </row>
    <row r="232">
      <c r="C232" t="inlineStr">
        <is>
          <t>Исполнительная схема № ГП/199 "Устройство бетонной подготовки под водоотводный лоток."</t>
        </is>
      </c>
    </row>
    <row r="233">
      <c r="C233" t="inlineStr">
        <is>
          <t>БТС В20 П3 F100 W6, документ о качестве бетонной смеси №985 от 30.06.2022 г, документ о качестве бетонной смеси №986 от 30.06.2022 г.</t>
        </is>
      </c>
    </row>
    <row r="234">
      <c r="C234" t="inlineStr">
        <is>
          <t>АОСР № ГП/200 Устройство водоотводного лотка Anmax.</t>
        </is>
      </c>
      <c r="D234" t="inlineStr"/>
      <c r="E234" t="inlineStr">
        <is>
          <t>"09" августа 2022 г.</t>
        </is>
      </c>
    </row>
    <row r="235">
      <c r="C235" t="inlineStr">
        <is>
          <t>Исполнительная схема № ГП/200 "Устройство водоотводного лотка."</t>
        </is>
      </c>
    </row>
    <row r="236">
      <c r="C236" t="inlineStr">
        <is>
          <t>Лоток водоотводный бетонный, паспорт №23-06-1 от 23.06.2022 г., сертификат соответствия №РОСС RU C-RU.НВ63.Н08959/21 срок действия с 16.04.2021 по 15.04.2024 г.</t>
        </is>
      </c>
    </row>
    <row r="237">
      <c r="C237" t="inlineStr">
        <is>
          <t>АОСР № ГП/209 Монтаж бортового камня Бр. 100.20.8.</t>
        </is>
      </c>
      <c r="D237" t="inlineStr"/>
      <c r="E237" t="inlineStr">
        <is>
          <t>"30" июня 2022 г.</t>
        </is>
      </c>
    </row>
    <row r="238">
      <c r="C238" t="inlineStr">
        <is>
          <t>Исполнительная схема № ГП/209 "Монтаж бортового камня Бр. 100.20.8."</t>
        </is>
      </c>
    </row>
    <row r="239">
      <c r="C239" t="inlineStr">
        <is>
          <t>Бордюр 1000х200х80, паспорт №б/н, сертификат соответствия №РОСС RU.32396.04НТЦ0.ОС02.00605 срок действия с 10.11.2021 по 09.11.2024 г.; Смесь сухая цементно-песчаная, паспорт качества №55 от 29.04.2022 г., сертификат соответствия №РОСС RU.32001.04ИБФ1.ОСП18.17941 срок действия с 21.03.2022 по 20.03.2025 г.</t>
        </is>
      </c>
    </row>
    <row r="240">
      <c r="C240" t="inlineStr">
        <is>
          <t>АОСР № ГП/210 Монтаж бортового камня Бр.100.30.15 .</t>
        </is>
      </c>
      <c r="D240" t="inlineStr"/>
      <c r="E240" t="inlineStr">
        <is>
          <t>"30" июня 2022 г.</t>
        </is>
      </c>
    </row>
    <row r="241">
      <c r="C241" t="inlineStr">
        <is>
          <t>Исполнительная схема № ГП/210 "Монтаж бортового камня Бр.100.30.15 ."</t>
        </is>
      </c>
    </row>
    <row r="242">
      <c r="C242" t="inlineStr">
        <is>
          <t>Бордюр 1000х300х150, паспорт №б/н, сертификат соответствия №РОСС RU.32396.04НТЦ0.ОС02.00605 срок действия с 10.11.2021 по 09.11.2024 г.; Смесь сухая цементно-песчаная, паспорт качества №55 от 29.04.2022 г., сертификат соответствия №РОСС RU.32001.04ИБФ1.ОСП18.17941 срок действия с 21.03.2022 по 20.03.2025 г.</t>
        </is>
      </c>
    </row>
    <row r="243">
      <c r="C243" t="inlineStr">
        <is>
          <t>АОСР № ГП/211 Монтаж прямоугольного камня стыковочного Кс.100.20.8</t>
        </is>
      </c>
      <c r="D243" t="inlineStr"/>
      <c r="E243" t="inlineStr">
        <is>
          <t>"30" июня 2022 г.</t>
        </is>
      </c>
    </row>
    <row r="244">
      <c r="C244" t="inlineStr">
        <is>
          <t>Исполнительная схема № ГП/211 "Монтаж прямоугольного камня стыковочного Кс.100.20.8"</t>
        </is>
      </c>
    </row>
    <row r="245">
      <c r="C245" t="inlineStr">
        <is>
          <t>Камень стыковочный 1000х200х80, паспорт №б/н, сертификат соответствия №РОСС RU.32396.04НТЦ0.ОС02.00605 срок действия с 10.11.2021 по 09.11.2024 г.; Смесь сухая цементно-песчаная, паспорт качества №55 от 29.04.2022 г., сертификат соответствия №РОСС RU.32001.04ИБФ1.ОСП18.17941 срок действия с 21.03.2022 по 20.03.2025 г.</t>
        </is>
      </c>
    </row>
  </sheetData>
  <mergeCells count="5">
    <mergeCell ref="B2:F2"/>
    <mergeCell ref="B10:F10"/>
    <mergeCell ref="B11:F11"/>
    <mergeCell ref="B3:F3"/>
    <mergeCell ref="B5:F5"/>
  </mergeCells>
  <pageMargins left="0.7" right="0.7" top="0.75" bottom="0.75" header="0.3" footer="0.3"/>
  <pageSetup orientation="portrait" paperSize="9" scale="50"/>
</worksheet>
</file>

<file path=xl/worksheets/sheet2.xml><?xml version="1.0" encoding="utf-8"?>
<worksheet xmlns="http://schemas.openxmlformats.org/spreadsheetml/2006/main">
  <sheetPr codeName="Лист52">
    <tabColor rgb="FF92D050"/>
    <outlinePr summaryBelow="1" summaryRight="1"/>
    <pageSetUpPr/>
  </sheetPr>
  <dimension ref="A1:T106"/>
  <sheetViews>
    <sheetView tabSelected="1" view="pageBreakPreview" topLeftCell="A2" zoomScale="94" zoomScaleNormal="85" zoomScaleSheetLayoutView="87" workbookViewId="0">
      <selection activeCell="R2" sqref="R2"/>
    </sheetView>
  </sheetViews>
  <sheetFormatPr baseColWidth="10" defaultColWidth="9.1640625" defaultRowHeight="15"/>
  <cols>
    <col width="9.1640625" customWidth="1" style="4" min="1" max="1"/>
    <col width="9.1640625" customWidth="1" style="4" min="2" max="3"/>
    <col width="9.6640625" customWidth="1" style="4" min="4" max="5"/>
    <col width="11.33203125" customWidth="1" style="4" min="6" max="7"/>
    <col width="11.5" customWidth="1" style="4" min="8" max="8"/>
    <col width="11.6640625" customWidth="1" style="4" min="9" max="9"/>
    <col width="9.1640625" customWidth="1" style="4" min="10" max="12"/>
    <col width="9.1640625" customWidth="1" style="3" min="13" max="14"/>
    <col width="9.1640625" customWidth="1" style="3" min="15" max="17"/>
    <col width="109.33203125" customWidth="1" style="3" min="18" max="18"/>
    <col width="9.1640625" customWidth="1" style="3" min="19" max="16384"/>
  </cols>
  <sheetData>
    <row r="1" hidden="1" ht="156.75" customHeight="1">
      <c r="A1" s="71" t="inlineStr">
        <is>
          <t xml:space="preserve">РД 11-02-2006 Приложение №3
к Требованиям к составу
и порядку ведения исполнительной
документации при строительстве.
Реконструкции, капитальном ремонте
объектов капитального строительства
и требования, предъявляемые к актам
освидетельствования работ, конструкций
участков сетей инженерно-технического
 обеспечения, утвержденным Приказом
 Федеральной службы по экологическому.
 технологическому и атомному надзору
 от 26 декабря 2006 г. №1128  </t>
        </is>
      </c>
      <c r="M1" s="14" t="inlineStr">
        <is>
          <t>
</t>
        </is>
      </c>
    </row>
    <row r="2" ht="36" customHeight="1">
      <c r="A2" s="72" t="inlineStr">
        <is>
          <t>Объект капитального строительства: «Футбольное тренировочное поле с искусственным газонным покрытием, вспомогательными помещениями и трибунами» по адресу: «Московская область, г. Мытищи, мкр. 25, Шараповский карьер»</t>
        </is>
      </c>
      <c r="B2" s="119" t="n"/>
      <c r="C2" s="119" t="n"/>
      <c r="D2" s="119" t="n"/>
      <c r="E2" s="119" t="n"/>
      <c r="F2" s="119" t="n"/>
      <c r="G2" s="119" t="n"/>
      <c r="H2" s="119" t="n"/>
      <c r="I2" s="119" t="n"/>
      <c r="J2" s="119" t="n"/>
      <c r="K2" s="119" t="n"/>
      <c r="L2" s="119" t="n"/>
    </row>
    <row r="3" hidden="1" ht="16.5" customHeight="1">
      <c r="A3" s="74" t="n"/>
    </row>
    <row r="4" ht="9.75" customHeight="1">
      <c r="A4" s="75" t="inlineStr">
        <is>
          <t>(наименование проектной документации, почтовый или строительный адрес объекта капитального строительства)</t>
        </is>
      </c>
    </row>
    <row r="5" ht="54" customHeight="1">
      <c r="A5" s="76" t="inlineStr">
        <is>
          <t>Застройщик (технический заказчик, эксплуатирующая организация или региональный оператор): МКУ "УЖКХ Мытищи", ОГРН 1125029011030, ИНН 5029168943, 141008, Московская область, город Мытищи, Новомытищинский проспект, дом 36/7, тел. +7(498)720-54-87</t>
        </is>
      </c>
      <c r="B5" s="119" t="n"/>
      <c r="C5" s="119" t="n"/>
      <c r="D5" s="119" t="n"/>
      <c r="E5" s="119" t="n"/>
      <c r="F5" s="119" t="n"/>
      <c r="G5" s="119" t="n"/>
      <c r="H5" s="119" t="n"/>
      <c r="I5" s="119" t="n"/>
      <c r="J5" s="119" t="n"/>
      <c r="K5" s="119" t="n"/>
      <c r="L5" s="119" t="n"/>
    </row>
    <row r="6" ht="9" customHeight="1">
      <c r="A6" s="75" t="inlineStr">
        <is>
          <t>(фамилия, имя, отчество, адрес места жительства, ОГРНИП, ИНН индивидуального предпринимателя,</t>
        </is>
      </c>
    </row>
    <row r="7" ht="9" customHeight="1">
      <c r="A7" s="75" t="inlineStr">
        <is>
          <t xml:space="preserve">наименование, ОГРН, ИНН, место нахождения юридического лица, телефон/факс, </t>
        </is>
      </c>
    </row>
    <row r="8" ht="9" customHeight="1">
      <c r="A8" s="77" t="inlineStr">
        <is>
          <t xml:space="preserve">наименование, ОГРН, ИНН саморегулируемой организации, членом которой является - для индивидуальных предпринимателей и юридических лиц;  фамилия, имя, отчество, </t>
        </is>
      </c>
    </row>
    <row r="9" ht="9" customHeight="1">
      <c r="A9" s="77" t="inlineStr">
        <is>
          <t>паспортные данные, адрес места жительства, телефон/факс - для физических лиц, не являющихся индивидуальными предпринимателями)</t>
        </is>
      </c>
    </row>
    <row r="10" ht="79" customHeight="1">
      <c r="A10" s="78" t="inlineStr">
        <is>
          <t>Лицо, осуществляющее строительство: ООО «Региональная Строительная Производственная Компания», ОГРН 1125029005970, ИНН 5029164064, 141002, Московская область, г.Мытищи, ул.Колпакова, д.2, литера Е, помещение 308.,  Ассоциация работодателей "Саморегулируемая организация "Объединение строительных и монтажных организаций "Стройкорпорация» ОГРН 1095000001502,  ИНН 5018137005, 141201, Московская область, г. Пушкино, микрорайон Междуречье, ул. Славянская, д.2, оф. Комнаты 79/1,79/3,84., тел.: +7(495)268-14-42</t>
        </is>
      </c>
      <c r="B10" s="119" t="n"/>
      <c r="C10" s="119" t="n"/>
      <c r="D10" s="119" t="n"/>
      <c r="E10" s="119" t="n"/>
      <c r="F10" s="119" t="n"/>
      <c r="G10" s="119" t="n"/>
      <c r="H10" s="119" t="n"/>
      <c r="I10" s="119" t="n"/>
      <c r="J10" s="119" t="n"/>
      <c r="K10" s="119" t="n"/>
      <c r="L10" s="119" t="n"/>
    </row>
    <row r="11" ht="9" customHeight="1">
      <c r="A11" s="75" t="inlineStr">
        <is>
          <t>(фамилия, имя, отчество, адрес места жительства, ОГРНИП, ИНН индивидуального предпринимателя,</t>
        </is>
      </c>
    </row>
    <row r="12" ht="9" customHeight="1">
      <c r="A12" s="75" t="inlineStr">
        <is>
          <t xml:space="preserve">наименование, ОГРН, ИНН, место нахождения юридического лица, телефон/факс, </t>
        </is>
      </c>
    </row>
    <row r="13" ht="9" customHeight="1">
      <c r="A13" s="75" t="inlineStr">
        <is>
          <t>наименование, ОГРН, ИНН саморегулируемой организации, членом которой является)</t>
        </is>
      </c>
    </row>
    <row r="14" hidden="1" ht="15" customHeight="1">
      <c r="A14" s="79" t="n"/>
    </row>
    <row r="15" ht="57.75" customHeight="1">
      <c r="A15" s="76" t="inlineStr">
        <is>
          <t>Лицо, осуществляющее подготовку проектной документации: ООО «АРС-СТ», ОРГН 1047796274129, ИНН 7705593472, 300013, г. Тула, ул. Болдина, д. 79, тел. 8 (4872) 559-371, Саморегулируемая организация в области проектирования «ПРОЕКТ», ОГРН 1097799004764, ИНН 7725255947</t>
        </is>
      </c>
      <c r="B15" s="119" t="n"/>
      <c r="C15" s="119" t="n"/>
      <c r="D15" s="119" t="n"/>
      <c r="E15" s="119" t="n"/>
      <c r="F15" s="119" t="n"/>
      <c r="G15" s="119" t="n"/>
      <c r="H15" s="119" t="n"/>
      <c r="I15" s="119" t="n"/>
      <c r="J15" s="119" t="n"/>
      <c r="K15" s="119" t="n"/>
      <c r="L15" s="119" t="n"/>
    </row>
    <row r="16" ht="9" customHeight="1">
      <c r="A16" s="75" t="inlineStr">
        <is>
          <t>(фамилия, имя, отчество, адрес места жительства, ОГРНИП, ИНН индивидуального предпринимателя,</t>
        </is>
      </c>
    </row>
    <row r="17" ht="9" customHeight="1">
      <c r="A17" s="75" t="inlineStr">
        <is>
          <t xml:space="preserve">наименование, ОГРН, ИНН, место нахождения юридического лица, телефон/факс, </t>
        </is>
      </c>
    </row>
    <row r="18" ht="9" customHeight="1">
      <c r="A18" s="75" t="inlineStr">
        <is>
          <t>наименование, ОГРН, ИНН саморегулируемой организации, членом которой является)</t>
        </is>
      </c>
    </row>
    <row r="19" hidden="1" ht="15" customHeight="1">
      <c r="A19" s="79" t="inlineStr">
        <is>
          <t>фамилия, имя, отчество, паспортные данные, место проживания, телефон/факс - для физических лиц)</t>
        </is>
      </c>
    </row>
    <row r="20" hidden="1" ht="16" customHeight="1">
      <c r="A20" s="80" t="inlineStr">
        <is>
          <t>Лицо, выполнившее работы, подлежащие освидетельствованию:  ООО «Бикор БМП», св. № 001884-2014-7714262759-С-041 от 02.10.14 г., СОНП по строительству нефтегазовых объектов "Нефтегазстрой" ОГРН 1027739474872; ИНН 77144262759; 119361, г. Москва, ул. Б. Очаковская., д.47А, стр.1, пом.7</t>
        </is>
      </c>
      <c r="B20" s="119" t="n"/>
      <c r="C20" s="119" t="n"/>
      <c r="D20" s="119" t="n"/>
      <c r="E20" s="119" t="n"/>
      <c r="F20" s="119" t="n"/>
      <c r="G20" s="119" t="n"/>
      <c r="H20" s="119" t="n"/>
      <c r="I20" s="119" t="n"/>
      <c r="J20" s="119" t="n"/>
      <c r="K20" s="119" t="n"/>
      <c r="L20" s="119" t="n"/>
      <c r="N20" s="3" t="n">
        <v>1</v>
      </c>
    </row>
    <row r="21" hidden="1" ht="15" customHeight="1">
      <c r="A21" s="79" t="inlineStr">
        <is>
          <t>(наименование, ОГРН, ИНН, номер и дата выдачи свидетельства о допуске к видам работ по строительству, реконструкции, капитальному ремонту</t>
        </is>
      </c>
    </row>
    <row r="22" hidden="1" ht="15" customHeight="1">
      <c r="A22" s="79" t="inlineStr">
        <is>
          <t>объектов капитального строительства, которые оказывают влияние на безопасность объектов капитального строительства, с указанием</t>
        </is>
      </c>
    </row>
    <row r="23" hidden="1" ht="15" customHeight="1">
      <c r="A23" s="79" t="inlineStr">
        <is>
          <t>саморегулируемой организации, его выдавшей, почтовые реквизиты, телефон/факс - для юридических лиц и индивидуальных предпринимателей;</t>
        </is>
      </c>
    </row>
    <row r="24" hidden="1" ht="15" customHeight="1">
      <c r="A24" s="79" t="inlineStr">
        <is>
          <t>фамилия, имя, отчество, паспортные данные, место проживания, телефон/факс - для физических лиц)</t>
        </is>
      </c>
    </row>
    <row r="25" ht="22.5" customHeight="1">
      <c r="A25" s="81" t="n"/>
      <c r="M25" s="19" t="n"/>
      <c r="Q25" s="20" t="n">
        <v>5</v>
      </c>
    </row>
    <row r="26" hidden="1" ht="0.75" customHeight="1">
      <c r="A26" s="79" t="inlineStr">
        <is>
          <t>о государственной регистрации, ОГРН, ИНН, почтовые реквизиты, телефон/факс – для  юридических лиц)</t>
        </is>
      </c>
      <c r="N26" s="3" t="n">
        <v>9</v>
      </c>
    </row>
    <row r="27" ht="16" customHeight="1">
      <c r="A27" s="82" t="inlineStr">
        <is>
          <t>АКТ</t>
        </is>
      </c>
      <c r="S27" s="19" t="n"/>
      <c r="T27" s="18" t="n"/>
    </row>
    <row r="28" ht="16" customHeight="1">
      <c r="A28" s="82" t="inlineStr">
        <is>
          <t xml:space="preserve">освидетельствования скрытых работ </t>
        </is>
      </c>
    </row>
    <row r="29">
      <c r="D29" s="17">
        <f>"№ "&amp;INDEX(БД!B:B,Индекс,)</f>
        <v/>
      </c>
      <c r="H29" s="120">
        <f>INDEX(БД!C:C,Индекс,)</f>
        <v/>
      </c>
    </row>
    <row r="30" ht="9.75" customHeight="1">
      <c r="H30" s="84" t="inlineStr">
        <is>
          <t>(дата составления акта)</t>
        </is>
      </c>
    </row>
    <row r="31" ht="38.25" customHeight="1">
      <c r="A31" s="85" t="inlineStr">
        <is>
          <t xml:space="preserve">Представитель застройщика (технического заказчика, эксплуатирующей организации или регионального оператора) по вопросам строительного контроля  </t>
        </is>
      </c>
    </row>
    <row r="32" ht="54.75" customHeight="1">
      <c r="A32" s="86" t="inlineStr">
        <is>
          <t>Инженер отдела инженерного надзора и проектно-технической документации Чайковский И.В., приказ №109/21 от 10.12.2021 г., МКУ "УЖКХ Мытищи", ОГРН 1125029011030, ИНН 5029168943, 141008, Московская область, город Мытищи, Новомытищинский проспект, дом 36/7, тел. +7(498)720-54-87</t>
        </is>
      </c>
      <c r="B32" s="119" t="n"/>
      <c r="C32" s="119" t="n"/>
      <c r="D32" s="119" t="n"/>
      <c r="E32" s="119" t="n"/>
      <c r="F32" s="119" t="n"/>
      <c r="G32" s="119" t="n"/>
      <c r="H32" s="119" t="n"/>
      <c r="I32" s="119" t="n"/>
      <c r="J32" s="119" t="n"/>
      <c r="K32" s="119" t="n"/>
      <c r="L32" s="119" t="n"/>
      <c r="M32" s="6" t="n"/>
    </row>
    <row r="33" ht="34.5" customHeight="1">
      <c r="A33" s="87" t="inlineStr">
        <is>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is>
      </c>
    </row>
    <row r="34" ht="21" customHeight="1">
      <c r="A34" s="85" t="inlineStr">
        <is>
          <t xml:space="preserve">Представитель лица, осуществляющего строительство </t>
        </is>
      </c>
    </row>
    <row r="35" ht="16.5" customHeight="1">
      <c r="A35" s="86" t="inlineStr">
        <is>
          <t>Заместитель генерального директора ООО «РСПК» Дергачев Н.С., приказ № 13/12-1-пр от 13.12.2021г.</t>
        </is>
      </c>
      <c r="B35" s="119" t="n"/>
      <c r="C35" s="119" t="n"/>
      <c r="D35" s="119" t="n"/>
      <c r="E35" s="119" t="n"/>
      <c r="F35" s="119" t="n"/>
      <c r="G35" s="119" t="n"/>
      <c r="H35" s="119" t="n"/>
      <c r="I35" s="119" t="n"/>
      <c r="J35" s="119" t="n"/>
      <c r="K35" s="119" t="n"/>
      <c r="L35" s="119" t="n"/>
      <c r="M35" s="6" t="n"/>
    </row>
    <row r="36" ht="15" customHeight="1">
      <c r="A36" s="77" t="inlineStr">
        <is>
          <t>(должность, фамилия, инициалы, реквизиты распорядительного документа, подтверждающего полномочия)</t>
        </is>
      </c>
    </row>
    <row r="37" ht="35.25" customHeight="1">
      <c r="A37" s="85" t="inlineStr">
        <is>
          <t>Представитель лица, осуществляющего строительство, по вопросам строительного контроля (специалист по организации строительства)</t>
        </is>
      </c>
    </row>
    <row r="38" ht="21" customHeight="1">
      <c r="A38" s="86" t="inlineStr">
        <is>
          <t>Главный инженер  ООО «РСПК» Симаньков В.Н., приказ № 13/12-1-пр от 13.12.2021г.</t>
        </is>
      </c>
      <c r="B38" s="119" t="n"/>
      <c r="C38" s="119" t="n"/>
      <c r="D38" s="119" t="n"/>
      <c r="E38" s="119" t="n"/>
      <c r="F38" s="119" t="n"/>
      <c r="G38" s="119" t="n"/>
      <c r="H38" s="119" t="n"/>
      <c r="I38" s="119" t="n"/>
      <c r="J38" s="119" t="n"/>
      <c r="K38" s="119" t="n"/>
      <c r="L38" s="119" t="n"/>
    </row>
    <row r="39" ht="22.5" customHeight="1">
      <c r="A39" s="16" t="n"/>
      <c r="B39" s="88" t="inlineStr">
        <is>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t>
        </is>
      </c>
      <c r="C39" s="121" t="n"/>
      <c r="D39" s="121" t="n"/>
      <c r="E39" s="121" t="n"/>
      <c r="F39" s="121" t="n"/>
      <c r="G39" s="121" t="n"/>
      <c r="H39" s="121" t="n"/>
      <c r="I39" s="121" t="n"/>
      <c r="J39" s="121" t="n"/>
      <c r="K39" s="121" t="n"/>
      <c r="L39" s="16" t="n"/>
      <c r="M39" s="6" t="n"/>
    </row>
    <row r="40" ht="21" customHeight="1">
      <c r="A40" s="89" t="inlineStr">
        <is>
          <t>Представитель лица, осуществляющего подготовку проектной документации</t>
        </is>
      </c>
    </row>
    <row r="41" ht="39.75" customHeight="1">
      <c r="A41" s="86" t="inlineStr">
        <is>
          <t>Главный инженер проекта Филимонов К. В. НОПРИЗ № ПИ-07736, приказ №12-А от 11.02.2022 г., ООО «СТРОЙ ПРЕСТИЖ» ОГРН 1147746590474, ИНН 7715432964, 141402, Московская обл., г. Химки, ул. Энгельса, д. 7/15 помещение 31</t>
        </is>
      </c>
      <c r="B41" s="119" t="n"/>
      <c r="C41" s="119" t="n"/>
      <c r="D41" s="119" t="n"/>
      <c r="E41" s="119" t="n"/>
      <c r="F41" s="119" t="n"/>
      <c r="G41" s="119" t="n"/>
      <c r="H41" s="119" t="n"/>
      <c r="I41" s="119" t="n"/>
      <c r="J41" s="119" t="n"/>
      <c r="K41" s="119" t="n"/>
      <c r="L41" s="119" t="n"/>
    </row>
    <row r="42" ht="34.5" customHeight="1">
      <c r="A42" s="77" t="inlineStr">
        <is>
          <t xml:space="preserve">(должность,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наименование, ОГРН, ИНН саморегулирующей организации, членом которой является указанное юридическое лицо, индивидуальный предприниматель) </t>
        </is>
      </c>
    </row>
    <row r="43" ht="21" customHeight="1">
      <c r="A43" s="89" t="inlineStr">
        <is>
          <t>Представитель лица, выполнившего работы, подлежащие освидетельствованию</t>
        </is>
      </c>
    </row>
    <row r="44" ht="31.5" customHeight="1">
      <c r="A44" s="86" t="inlineStr">
        <is>
          <t>Главный инженер Бужу В.В., приказ № 1 от 10.12.2021г., ООО «СТРОЙ ПРЕСТИЖ» ОГРН 1147746590474, ИНН 7715432964, 141402, Московская обл., г. Химки, ул. Энгельса, д. 7/15 помещение 31</t>
        </is>
      </c>
      <c r="B44" s="119" t="n"/>
      <c r="C44" s="119" t="n"/>
      <c r="D44" s="119" t="n"/>
      <c r="E44" s="119" t="n"/>
      <c r="F44" s="119" t="n"/>
      <c r="G44" s="119" t="n"/>
      <c r="H44" s="119" t="n"/>
      <c r="I44" s="119" t="n"/>
      <c r="J44" s="119" t="n"/>
      <c r="K44" s="119" t="n"/>
      <c r="L44" s="119" t="n"/>
    </row>
    <row r="45" ht="27.75" customHeight="1">
      <c r="A45" s="77" t="inlineStr">
        <is>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is>
      </c>
    </row>
    <row r="46" ht="21" customHeight="1">
      <c r="A46" s="89" t="inlineStr">
        <is>
          <t>а также иные представители лиц, участвующих в освидетельствовании:</t>
        </is>
      </c>
      <c r="K46" s="90" t="n"/>
    </row>
    <row r="47" ht="15.75" customHeight="1">
      <c r="A47" s="91" t="n"/>
      <c r="B47" s="119" t="n"/>
      <c r="C47" s="119" t="n"/>
      <c r="D47" s="119" t="n"/>
      <c r="E47" s="119" t="n"/>
      <c r="F47" s="119" t="n"/>
      <c r="G47" s="119" t="n"/>
      <c r="H47" s="119" t="n"/>
      <c r="I47" s="119" t="n"/>
      <c r="J47" s="119" t="n"/>
      <c r="K47" s="119" t="n"/>
      <c r="L47" s="119" t="n"/>
      <c r="M47" s="6" t="n"/>
    </row>
    <row r="48" ht="15" customHeight="1">
      <c r="A48" s="88" t="inlineStr">
        <is>
          <t>(должность с указанием наименования организации, фамилия, инициалы, реквизиты распорядительного документа, подтверждающего полномочия)</t>
        </is>
      </c>
      <c r="B48" s="121" t="n"/>
      <c r="C48" s="121" t="n"/>
      <c r="D48" s="121" t="n"/>
      <c r="E48" s="121" t="n"/>
      <c r="F48" s="121" t="n"/>
      <c r="G48" s="121" t="n"/>
      <c r="H48" s="121" t="n"/>
      <c r="I48" s="121" t="n"/>
      <c r="J48" s="121" t="n"/>
      <c r="K48" s="121" t="n"/>
      <c r="L48" s="121" t="n"/>
    </row>
    <row r="49" ht="22.5" customHeight="1">
      <c r="A49" s="89" t="inlineStr">
        <is>
          <t xml:space="preserve">произвели осмотр работ, выполненных </t>
        </is>
      </c>
      <c r="F49" s="92" t="inlineStr">
        <is>
          <t xml:space="preserve">ООО «СТРОЙ ПРЕСТИЖ» </t>
        </is>
      </c>
      <c r="G49" s="119" t="n"/>
      <c r="H49" s="119" t="n"/>
      <c r="I49" s="119" t="n"/>
      <c r="J49" s="119" t="n"/>
      <c r="K49" s="119" t="n"/>
      <c r="L49" s="119" t="n"/>
    </row>
    <row r="50" hidden="1" ht="16.5" customHeight="1">
      <c r="A50" s="94" t="n"/>
      <c r="B50" s="119" t="n"/>
      <c r="C50" s="119" t="n"/>
      <c r="D50" s="119" t="n"/>
      <c r="E50" s="119" t="n"/>
      <c r="F50" s="119" t="n"/>
      <c r="G50" s="119" t="n"/>
      <c r="H50" s="119" t="n"/>
      <c r="I50" s="119" t="n"/>
      <c r="J50" s="119" t="n"/>
      <c r="K50" s="119" t="n"/>
      <c r="L50" s="119" t="n"/>
    </row>
    <row r="51" ht="15" customHeight="1">
      <c r="A51" s="88" t="inlineStr">
        <is>
          <t>(наименование лица, выполнившего работы, подлежащие освидетельствованию)</t>
        </is>
      </c>
      <c r="B51" s="121" t="n"/>
      <c r="C51" s="121" t="n"/>
      <c r="D51" s="121" t="n"/>
      <c r="E51" s="121" t="n"/>
      <c r="F51" s="121" t="n"/>
      <c r="G51" s="121" t="n"/>
      <c r="H51" s="121" t="n"/>
      <c r="I51" s="121" t="n"/>
      <c r="J51" s="121" t="n"/>
      <c r="K51" s="121" t="n"/>
      <c r="L51" s="121" t="n"/>
    </row>
    <row r="52" ht="21" customHeight="1">
      <c r="A52" s="89" t="inlineStr">
        <is>
          <t xml:space="preserve">и составили настоящий акт о нижеследующем: </t>
        </is>
      </c>
    </row>
    <row r="53" ht="16.5" customHeight="1">
      <c r="A53" s="113" t="inlineStr">
        <is>
          <t>1. К освидетельствованию предъявлены следующие работы</t>
        </is>
      </c>
      <c r="B53" s="113" t="n"/>
      <c r="C53" s="113" t="n"/>
      <c r="D53" s="113" t="n"/>
      <c r="E53" s="113" t="n"/>
      <c r="F53" s="113" t="n"/>
      <c r="G53" s="113" t="n"/>
      <c r="H53" s="113" t="n"/>
      <c r="I53" s="113" t="n"/>
      <c r="J53" s="113" t="n"/>
      <c r="K53" s="113" t="n"/>
      <c r="L53" s="113" t="n"/>
    </row>
    <row r="54" ht="15" customHeight="1">
      <c r="A54" s="95" t="inlineStr">
        <is>
          <t>Устройство бетонной подготовки в осях 1-7/А-Т на отм.-3,940</t>
        </is>
      </c>
      <c r="B54" s="119" t="n"/>
      <c r="C54" s="119" t="n"/>
      <c r="D54" s="119" t="n"/>
      <c r="E54" s="119" t="n"/>
      <c r="F54" s="119" t="n"/>
      <c r="G54" s="119" t="n"/>
      <c r="H54" s="119" t="n"/>
      <c r="I54" s="119" t="n"/>
      <c r="J54" s="119" t="n"/>
      <c r="K54" s="119" t="n"/>
      <c r="L54" s="119" t="n"/>
      <c r="S54" s="15" t="n"/>
    </row>
    <row r="55" ht="9" customHeight="1">
      <c r="A55" s="77" t="inlineStr">
        <is>
          <t>(наименование скрытых работ)</t>
        </is>
      </c>
    </row>
    <row r="56" ht="21" customHeight="1">
      <c r="A56" s="4" t="inlineStr">
        <is>
          <t>2. Работы выполнены по проектной документации</t>
        </is>
      </c>
      <c r="B56" s="113" t="n"/>
      <c r="C56" s="113" t="n"/>
      <c r="D56" s="113" t="n"/>
      <c r="E56" s="113" t="n"/>
      <c r="F56" s="113" t="n"/>
      <c r="G56" s="113" t="n"/>
      <c r="H56" s="113" t="n"/>
      <c r="I56" s="113" t="n"/>
      <c r="J56" s="113" t="n"/>
      <c r="K56" s="113" t="n"/>
      <c r="L56" s="113" t="n"/>
    </row>
    <row r="57" ht="15.75" customHeight="1">
      <c r="A57" s="96" t="inlineStr">
        <is>
          <t>Шифр: 62-АБД-КЖ 1 , л. 4.,9. ООО «МОСРЕГИОНПРОЕКТ»</t>
        </is>
      </c>
      <c r="B57" s="119" t="n"/>
      <c r="C57" s="119" t="n"/>
      <c r="D57" s="119" t="n"/>
      <c r="E57" s="119" t="n"/>
      <c r="F57" s="119" t="n"/>
      <c r="G57" s="119" t="n"/>
      <c r="H57" s="119" t="n"/>
      <c r="I57" s="119" t="n"/>
      <c r="J57" s="119" t="n"/>
      <c r="K57" s="119" t="n"/>
      <c r="L57" s="119" t="n"/>
      <c r="M57" s="14" t="n"/>
    </row>
    <row r="58" ht="9" customHeight="1">
      <c r="A58" s="77" t="inlineStr">
        <is>
          <t>(номер, другие реквизиты чертежа, наименование проектной и/или рабочей документации,</t>
        </is>
      </c>
    </row>
    <row r="59" ht="9" customHeight="1">
      <c r="A59" s="77" t="inlineStr">
        <is>
          <t>сведения о лицах, осуществляющих подготовку раздела проектной и/или рабочей документации)</t>
        </is>
      </c>
    </row>
    <row r="60" ht="21" customHeight="1">
      <c r="A60" s="4" t="inlineStr">
        <is>
          <t>3. При выполнении работ применены:</t>
        </is>
      </c>
      <c r="B60" s="113" t="n"/>
      <c r="C60" s="113" t="n"/>
      <c r="D60" s="113" t="n"/>
      <c r="E60" s="113" t="n"/>
      <c r="F60" s="113" t="n"/>
      <c r="G60" s="113" t="n"/>
      <c r="H60" s="113" t="n"/>
      <c r="I60" s="113" t="n"/>
      <c r="J60" s="113" t="n"/>
      <c r="K60" s="113" t="n"/>
      <c r="L60" s="113" t="n"/>
    </row>
    <row r="61" ht="44" customHeight="1">
      <c r="A61" s="95" t="inlineStr">
        <is>
          <t>Документы о качестве бетонной смеси БСТ В12,5 П4 F/00 W6: №1863., №1866., №/859., №1865 от 17.08.2022г. № 11478 от 18.08.2022г. Декларацuя о соответствии №РОСС RU Д-RU. HA45.B.00762/22 срок действuя по 12.01.2023г. Декларация о соответствии № РОСС RU Д-RU.PAO1.B.10095/22 срок действuя по 21.03.2025г.</t>
        </is>
      </c>
      <c r="B61" s="119" t="n"/>
      <c r="C61" s="119" t="n"/>
      <c r="D61" s="119" t="n"/>
      <c r="E61" s="119" t="n"/>
      <c r="F61" s="119" t="n"/>
      <c r="G61" s="119" t="n"/>
      <c r="H61" s="119" t="n"/>
      <c r="I61" s="119" t="n"/>
      <c r="J61" s="119" t="n"/>
      <c r="K61" s="119" t="n"/>
      <c r="L61" s="119" t="n"/>
      <c r="M61" s="14" t="n"/>
    </row>
    <row r="62" ht="9" customHeight="1">
      <c r="A62" s="77" t="inlineStr">
        <is>
          <t>(наименование строительных материалов (изделий), реквизиты сертификатов и/или других документов, подтверждающих их качество и безопасность)</t>
        </is>
      </c>
    </row>
    <row r="63" ht="21" customHeight="1">
      <c r="A63" s="4" t="inlineStr">
        <is>
          <t>4. Предъявлены документы, подтверждающие соответствие работ предъявляемым к ним требованиям</t>
        </is>
      </c>
      <c r="B63" s="113" t="n"/>
      <c r="C63" s="113" t="n"/>
      <c r="D63" s="113" t="n"/>
      <c r="E63" s="113" t="n"/>
      <c r="F63" s="113" t="n"/>
      <c r="G63" s="113" t="n"/>
      <c r="H63" s="113" t="n"/>
      <c r="I63" s="113" t="n"/>
      <c r="J63" s="113" t="n"/>
      <c r="K63" s="113" t="n"/>
      <c r="L63" s="113" t="n"/>
    </row>
    <row r="64" ht="20" customHeight="1">
      <c r="A64" s="95" t="inlineStr">
        <is>
          <t>Исполнительная схема № БП-17-18/8-01 "Бетонная подготовка в осях 1-17/А-Т на отм.-3,940"</t>
        </is>
      </c>
      <c r="B64" s="119" t="n"/>
      <c r="C64" s="119" t="n"/>
      <c r="D64" s="119" t="n"/>
      <c r="E64" s="119" t="n"/>
      <c r="F64" s="119" t="n"/>
      <c r="G64" s="119" t="n"/>
      <c r="H64" s="119" t="n"/>
      <c r="I64" s="119" t="n"/>
      <c r="J64" s="119" t="n"/>
      <c r="K64" s="119" t="n"/>
      <c r="L64" s="119" t="n"/>
      <c r="M64" s="14" t="n"/>
    </row>
    <row r="65" ht="9.75" customHeight="1">
      <c r="A65" s="77" t="inlineStr">
        <is>
          <t>(исполнительные схемы и чертежи, результаты экспертиз, обследований, лабораторных и иных испытаний выполненных работ, проведенных в процессе строительного контроля)</t>
        </is>
      </c>
    </row>
    <row r="66" ht="23.25" customHeight="1">
      <c r="A66" s="4" t="inlineStr">
        <is>
          <t>5. Даты:</t>
        </is>
      </c>
      <c r="B66" s="90" t="n"/>
      <c r="C66" s="97" t="inlineStr">
        <is>
          <t xml:space="preserve"> начала работ</t>
        </is>
      </c>
      <c r="E66" s="98" t="inlineStr">
        <is>
          <t>"13" ноября 2019 г.</t>
        </is>
      </c>
      <c r="G66" s="90" t="n"/>
      <c r="H66" s="90" t="n"/>
      <c r="I66" s="90" t="n"/>
      <c r="J66" s="90" t="n"/>
      <c r="K66" s="90" t="n"/>
      <c r="L66" s="90" t="n"/>
    </row>
    <row r="67" ht="15" customHeight="1">
      <c r="B67" s="90" t="n"/>
      <c r="C67" s="99" t="inlineStr">
        <is>
          <t xml:space="preserve">окончания работ </t>
        </is>
      </c>
      <c r="E67" s="98" t="inlineStr">
        <is>
          <t>"20" ноября 2019 г.</t>
        </is>
      </c>
      <c r="G67" s="90" t="n"/>
      <c r="H67" s="90" t="n"/>
      <c r="I67" s="90" t="n"/>
      <c r="J67" s="90" t="n"/>
      <c r="K67" s="90" t="n"/>
      <c r="L67" s="90" t="n"/>
    </row>
    <row r="69" ht="16.5" customHeight="1">
      <c r="A69" s="113" t="inlineStr">
        <is>
          <t xml:space="preserve">6. Работы выполнены в соответствии с  </t>
        </is>
      </c>
      <c r="B69" s="113" t="n"/>
      <c r="C69" s="113" t="n"/>
      <c r="D69" s="113" t="n"/>
      <c r="E69" s="113" t="n"/>
      <c r="F69" s="113" t="n"/>
      <c r="G69" s="113" t="n"/>
      <c r="H69" s="113" t="n"/>
      <c r="I69" s="113" t="n"/>
      <c r="J69" s="113" t="n"/>
      <c r="K69" s="113" t="n"/>
      <c r="L69" s="113" t="n"/>
    </row>
    <row r="70" ht="17" customHeight="1">
      <c r="A70" s="100" t="inlineStr">
        <is>
          <t>СП 45.13330.2017. Свод правил. Земляные сооружения, основания и фундаменты. Шифр: 62-АБД-КЖ1., л. 4.,9.  ООО «МОСРЕГИОНПРОЕКТ»</t>
        </is>
      </c>
      <c r="B70" s="119" t="n"/>
      <c r="C70" s="119" t="n"/>
      <c r="D70" s="119" t="n"/>
      <c r="E70" s="119" t="n"/>
      <c r="F70" s="119" t="n"/>
      <c r="G70" s="119" t="n"/>
      <c r="H70" s="119" t="n"/>
      <c r="I70" s="119" t="n"/>
      <c r="J70" s="119" t="n"/>
      <c r="K70" s="119" t="n"/>
      <c r="L70" s="119" t="n"/>
      <c r="M70" s="14" t="n"/>
    </row>
    <row r="71" ht="9" customHeight="1">
      <c r="A71" s="122" t="inlineStr">
        <is>
          <t>(наименования и структурные единицы технических регламентов, иных нормативных правовых актов, разделы проектной и/или рабочей документации)</t>
        </is>
      </c>
    </row>
    <row r="72" ht="21" customHeight="1">
      <c r="A72" s="4" t="inlineStr">
        <is>
          <t>7. Разрешается производство последующих работ по</t>
        </is>
      </c>
      <c r="B72" s="113" t="n"/>
      <c r="C72" s="113" t="n"/>
      <c r="D72" s="113" t="n"/>
      <c r="E72" s="113" t="n"/>
      <c r="F72" s="113" t="n"/>
      <c r="G72" s="113" t="n"/>
      <c r="H72" s="113" t="n"/>
      <c r="I72" s="113" t="n"/>
      <c r="J72" s="113" t="n"/>
      <c r="K72" s="113" t="n"/>
      <c r="L72" s="113" t="n"/>
    </row>
    <row r="73" ht="15" customHeight="1">
      <c r="A73" s="100" t="inlineStr">
        <is>
          <t>Устройству рулонной гидроизоляции в 2 слоя в осях: 1-7/А-Т на отм.-3,940</t>
        </is>
      </c>
      <c r="B73" s="119" t="n"/>
      <c r="C73" s="119" t="n"/>
      <c r="D73" s="119" t="n"/>
      <c r="E73" s="119" t="n"/>
      <c r="F73" s="119" t="n"/>
      <c r="G73" s="119" t="n"/>
      <c r="H73" s="119" t="n"/>
      <c r="I73" s="119" t="n"/>
      <c r="J73" s="119" t="n"/>
      <c r="K73" s="119" t="n"/>
      <c r="L73" s="119" t="n"/>
    </row>
    <row r="74" ht="9" customHeight="1">
      <c r="A74" s="77" t="inlineStr">
        <is>
          <t>(наименование работ, конструкций, участков сетей инженерно-технического обеспечения)</t>
        </is>
      </c>
    </row>
    <row r="75">
      <c r="A75" s="102" t="n"/>
    </row>
    <row r="76" ht="15" customHeight="1">
      <c r="A76" s="103" t="inlineStr">
        <is>
          <t xml:space="preserve">Дополнительные сведения </t>
        </is>
      </c>
      <c r="B76" s="119" t="n"/>
      <c r="C76" s="119" t="n"/>
      <c r="D76" s="119" t="n"/>
      <c r="E76" s="104" t="n"/>
      <c r="F76" s="119" t="n"/>
      <c r="G76" s="119" t="n"/>
      <c r="H76" s="119" t="n"/>
      <c r="I76" s="119" t="n"/>
      <c r="J76" s="119" t="n"/>
      <c r="K76" s="119" t="n"/>
      <c r="L76" s="119" t="n"/>
    </row>
    <row r="77" hidden="1">
      <c r="A77" s="106" t="n"/>
      <c r="B77" s="119" t="n"/>
      <c r="C77" s="119" t="n"/>
      <c r="D77" s="13" t="n"/>
      <c r="E77" s="13" t="n"/>
      <c r="F77" s="13" t="n"/>
      <c r="G77" s="13" t="n"/>
      <c r="H77" s="13" t="n"/>
      <c r="I77" s="13" t="n"/>
      <c r="J77" s="13" t="n"/>
      <c r="K77" s="13" t="n"/>
      <c r="L77" s="13" t="n"/>
    </row>
    <row r="78" hidden="1">
      <c r="A78" s="107" t="n"/>
      <c r="B78" s="116" t="n"/>
      <c r="C78" s="116" t="n"/>
      <c r="D78" s="10" t="n"/>
      <c r="E78" s="10" t="n"/>
      <c r="F78" s="10" t="n"/>
      <c r="G78" s="10" t="n"/>
      <c r="H78" s="10" t="n"/>
      <c r="I78" s="10" t="n"/>
      <c r="J78" s="10" t="n"/>
      <c r="K78" s="10" t="n"/>
      <c r="L78" s="10" t="n"/>
    </row>
    <row r="79" ht="6.75" customHeight="1">
      <c r="A79" s="108" t="n"/>
      <c r="B79" s="121" t="n"/>
      <c r="C79" s="121" t="n"/>
    </row>
    <row r="80" ht="15" customHeight="1">
      <c r="A80" s="113" t="inlineStr">
        <is>
          <t xml:space="preserve">Акт составлен в </t>
        </is>
      </c>
      <c r="B80" s="90" t="n"/>
      <c r="C80" s="112" t="n">
        <v>5</v>
      </c>
      <c r="D80" s="113" t="inlineStr">
        <is>
          <t xml:space="preserve">экземплярах. </t>
        </is>
      </c>
      <c r="F80" s="113" t="n"/>
      <c r="G80" s="90" t="n"/>
    </row>
    <row r="81" ht="18.75" customHeight="1">
      <c r="A81" s="113" t="n"/>
      <c r="B81" s="90" t="n"/>
      <c r="C81" s="12" t="n"/>
      <c r="D81" s="113" t="n"/>
      <c r="F81" s="113" t="n"/>
      <c r="G81" s="90" t="n"/>
    </row>
    <row r="82" ht="18" customFormat="1" customHeight="1" s="6">
      <c r="A82" s="113" t="inlineStr">
        <is>
          <t>Приложения:</t>
        </is>
      </c>
      <c r="B82" s="113" t="n"/>
      <c r="C82" s="95" t="inlineStr">
        <is>
          <t>Исполнительная схема № БП-17-18/8-01 "Бетонная подготовка в осях 1-17/А-Т на отм.-3,940"</t>
        </is>
      </c>
      <c r="D82" s="119" t="n"/>
      <c r="E82" s="119" t="n"/>
      <c r="F82" s="119" t="n"/>
      <c r="G82" s="119" t="n"/>
      <c r="H82" s="119" t="n"/>
      <c r="I82" s="119" t="n"/>
      <c r="J82" s="119" t="n"/>
      <c r="K82" s="119" t="n"/>
      <c r="L82" s="119" t="n"/>
      <c r="N82" s="11" t="n"/>
    </row>
    <row r="83" ht="9" customHeight="1">
      <c r="A83" s="75" t="inlineStr">
        <is>
          <t>(исполнительные схемы и чертежи, результаты экспертиз, обследований, лабораторных и иных испытаний)</t>
        </is>
      </c>
    </row>
    <row r="84" hidden="1">
      <c r="A84" s="108" t="n"/>
      <c r="B84" s="121" t="n"/>
      <c r="C84" s="121" t="n"/>
      <c r="D84" s="10" t="n"/>
      <c r="E84" s="10" t="n"/>
      <c r="F84" s="10" t="n"/>
      <c r="G84" s="10" t="n"/>
      <c r="H84" s="10" t="n"/>
      <c r="I84" s="10" t="n"/>
      <c r="J84" s="10" t="n"/>
      <c r="K84" s="10" t="n"/>
      <c r="L84" s="10" t="n"/>
    </row>
    <row r="85">
      <c r="A85" s="90" t="n"/>
    </row>
    <row r="86" ht="26.25" customHeight="1">
      <c r="A86" s="109" t="inlineStr">
        <is>
          <t xml:space="preserve">Представитель застройщика (технического заказчика , эксплуатирующей организации или регионального оператора ) по вопросам строительного контроля </t>
        </is>
      </c>
    </row>
    <row r="87" ht="16.5" customHeight="1">
      <c r="A87" s="86" t="inlineStr">
        <is>
          <t>Чайковский И.В.</t>
        </is>
      </c>
      <c r="B87" s="119" t="n"/>
      <c r="C87" s="119" t="n"/>
      <c r="D87" s="119" t="n"/>
      <c r="E87" s="119" t="n"/>
      <c r="F87" s="119" t="n"/>
      <c r="G87" s="119" t="n"/>
      <c r="H87" s="119" t="n"/>
      <c r="I87" s="119" t="n"/>
      <c r="J87" s="119" t="n"/>
      <c r="K87" s="119" t="n"/>
      <c r="L87" s="119" t="n"/>
      <c r="M87" s="6" t="n"/>
    </row>
    <row r="88" ht="9" customHeight="1">
      <c r="A88" s="88" t="inlineStr">
        <is>
          <t>(фамилия, инициалы, подпись)</t>
        </is>
      </c>
      <c r="B88" s="121" t="n"/>
      <c r="C88" s="121" t="n"/>
      <c r="D88" s="121" t="n"/>
      <c r="E88" s="121" t="n"/>
      <c r="F88" s="121" t="n"/>
      <c r="G88" s="121" t="n"/>
      <c r="H88" s="121" t="n"/>
      <c r="I88" s="121" t="n"/>
      <c r="J88" s="121" t="n"/>
      <c r="K88" s="121" t="n"/>
      <c r="L88" s="121" t="n"/>
    </row>
    <row r="89">
      <c r="A89" s="110" t="inlineStr">
        <is>
          <t>Представитель лица, осуществляющего строительство :</t>
        </is>
      </c>
    </row>
    <row r="90" ht="16.5" customHeight="1">
      <c r="A90" s="86" t="inlineStr">
        <is>
          <t>Дергачев Н.С.</t>
        </is>
      </c>
      <c r="B90" s="119" t="n"/>
      <c r="C90" s="119" t="n"/>
      <c r="D90" s="119" t="n"/>
      <c r="E90" s="119" t="n"/>
      <c r="F90" s="119" t="n"/>
      <c r="G90" s="119" t="n"/>
      <c r="H90" s="119" t="n"/>
      <c r="I90" s="119" t="n"/>
      <c r="J90" s="119" t="n"/>
      <c r="K90" s="119" t="n"/>
      <c r="L90" s="119" t="n"/>
      <c r="M90" s="6" t="n"/>
    </row>
    <row r="91" ht="9" customHeight="1">
      <c r="A91" s="88" t="inlineStr">
        <is>
          <t>(фамилия, инициалы, подпись)</t>
        </is>
      </c>
      <c r="B91" s="121" t="n"/>
      <c r="C91" s="121" t="n"/>
      <c r="D91" s="121" t="n"/>
      <c r="E91" s="121" t="n"/>
      <c r="F91" s="121" t="n"/>
      <c r="G91" s="121" t="n"/>
      <c r="H91" s="121" t="n"/>
      <c r="I91" s="121" t="n"/>
      <c r="J91" s="121" t="n"/>
      <c r="K91" s="121" t="n"/>
      <c r="L91" s="121" t="n"/>
    </row>
    <row r="92" ht="30.75" customHeight="1">
      <c r="A92" s="109" t="inlineStr">
        <is>
          <t>Представитель лица, осуществляющего строительство, по вопросам строительного контроля ( специалист по организации строительства)</t>
        </is>
      </c>
    </row>
    <row r="93" ht="16.5" customHeight="1">
      <c r="A93" s="86" t="inlineStr">
        <is>
          <t>Симаньков В.Н.</t>
        </is>
      </c>
      <c r="B93" s="119" t="n"/>
      <c r="C93" s="119" t="n"/>
      <c r="D93" s="119" t="n"/>
      <c r="E93" s="119" t="n"/>
      <c r="F93" s="119" t="n"/>
      <c r="G93" s="119" t="n"/>
      <c r="H93" s="119" t="n"/>
      <c r="I93" s="119" t="n"/>
      <c r="J93" s="119" t="n"/>
      <c r="K93" s="119" t="n"/>
      <c r="L93" s="119" t="n"/>
      <c r="M93" s="6" t="n"/>
    </row>
    <row r="94" ht="9" customHeight="1">
      <c r="A94" s="88" t="inlineStr">
        <is>
          <t>(фамилия, инициалы, подпись)</t>
        </is>
      </c>
      <c r="B94" s="121" t="n"/>
      <c r="C94" s="121" t="n"/>
      <c r="D94" s="121" t="n"/>
      <c r="E94" s="121" t="n"/>
      <c r="F94" s="121" t="n"/>
      <c r="G94" s="121" t="n"/>
      <c r="H94" s="121" t="n"/>
      <c r="I94" s="121" t="n"/>
      <c r="J94" s="121" t="n"/>
      <c r="K94" s="121" t="n"/>
      <c r="L94" s="121" t="n"/>
    </row>
    <row r="95">
      <c r="A95" s="111" t="inlineStr">
        <is>
          <t>Представитель лица, осуществляющего подготовку проектной документации</t>
        </is>
      </c>
    </row>
    <row r="96" ht="16.5" customHeight="1">
      <c r="A96" s="86" t="inlineStr">
        <is>
          <t>Филимонов К. В.</t>
        </is>
      </c>
      <c r="B96" s="119" t="n"/>
      <c r="C96" s="119" t="n"/>
      <c r="D96" s="119" t="n"/>
      <c r="E96" s="119" t="n"/>
      <c r="F96" s="119" t="n"/>
      <c r="G96" s="119" t="n"/>
      <c r="H96" s="119" t="n"/>
      <c r="I96" s="119" t="n"/>
      <c r="J96" s="119" t="n"/>
      <c r="K96" s="119" t="n"/>
      <c r="L96" s="119" t="n"/>
      <c r="M96" s="6" t="n"/>
    </row>
    <row r="97" ht="9" customHeight="1">
      <c r="A97" s="88" t="inlineStr">
        <is>
          <t>(фамилия, инициалы, подпись)</t>
        </is>
      </c>
      <c r="B97" s="121" t="n"/>
      <c r="C97" s="121" t="n"/>
      <c r="D97" s="121" t="n"/>
      <c r="E97" s="121" t="n"/>
      <c r="F97" s="121" t="n"/>
      <c r="G97" s="121" t="n"/>
      <c r="H97" s="121" t="n"/>
      <c r="I97" s="121" t="n"/>
      <c r="J97" s="121" t="n"/>
      <c r="K97" s="121" t="n"/>
      <c r="L97" s="121" t="n"/>
    </row>
    <row r="98" ht="6" customHeight="1">
      <c r="A98" s="8" t="n"/>
      <c r="B98" s="8" t="n"/>
      <c r="C98" s="8" t="n"/>
      <c r="D98" s="8" t="n"/>
      <c r="E98" s="8" t="n"/>
      <c r="F98" s="8" t="n"/>
      <c r="G98" s="8" t="n"/>
      <c r="H98" s="8" t="n"/>
      <c r="I98" s="8" t="n"/>
      <c r="J98" s="8" t="n"/>
      <c r="K98" s="8" t="n"/>
      <c r="L98" s="8" t="n"/>
    </row>
    <row r="99">
      <c r="A99" s="113" t="inlineStr">
        <is>
          <t xml:space="preserve">Представитель лица, выполнившего работы подлежащие освидетельствованию </t>
        </is>
      </c>
      <c r="M99" s="6" t="n"/>
    </row>
    <row r="100" ht="16.5" customHeight="1">
      <c r="A100" s="86" t="inlineStr">
        <is>
          <t>Бужу В.В.</t>
        </is>
      </c>
      <c r="B100" s="119" t="n"/>
      <c r="C100" s="119" t="n"/>
      <c r="D100" s="119" t="n"/>
      <c r="E100" s="119" t="n"/>
      <c r="F100" s="119" t="n"/>
      <c r="G100" s="119" t="n"/>
      <c r="H100" s="119" t="n"/>
      <c r="I100" s="119" t="n"/>
      <c r="J100" s="119" t="n"/>
      <c r="K100" s="119" t="n"/>
      <c r="L100" s="119" t="n"/>
      <c r="M100" s="6" t="n"/>
    </row>
    <row r="101" ht="9" customHeight="1">
      <c r="A101" s="88" t="inlineStr">
        <is>
          <t>(фамилия, инициалы, подпись)</t>
        </is>
      </c>
      <c r="B101" s="121" t="n"/>
      <c r="C101" s="121" t="n"/>
      <c r="D101" s="121" t="n"/>
      <c r="E101" s="121" t="n"/>
      <c r="F101" s="121" t="n"/>
      <c r="G101" s="121" t="n"/>
      <c r="H101" s="121" t="n"/>
      <c r="I101" s="121" t="n"/>
      <c r="J101" s="121" t="n"/>
      <c r="K101" s="121" t="n"/>
      <c r="L101" s="121" t="n"/>
    </row>
    <row r="102">
      <c r="A102" s="111" t="inlineStr">
        <is>
          <t>Представитель иных лиц:</t>
        </is>
      </c>
    </row>
    <row r="103" ht="16.5" customHeight="1">
      <c r="A103" s="86" t="inlineStr">
        <is>
          <t>Хрен с горы С.С.</t>
        </is>
      </c>
      <c r="B103" s="119" t="n"/>
      <c r="C103" s="119" t="n"/>
      <c r="D103" s="119" t="n"/>
      <c r="E103" s="119" t="n"/>
      <c r="F103" s="119" t="n"/>
      <c r="G103" s="119" t="n"/>
      <c r="H103" s="119" t="n"/>
      <c r="I103" s="119" t="n"/>
      <c r="J103" s="119" t="n"/>
      <c r="K103" s="119" t="n"/>
      <c r="L103" s="119" t="n"/>
      <c r="M103" s="6" t="n"/>
    </row>
    <row r="104" ht="9" customHeight="1">
      <c r="A104" s="88" t="inlineStr">
        <is>
          <t>(фамилия, инициалы, подпись)</t>
        </is>
      </c>
      <c r="B104" s="121" t="n"/>
      <c r="C104" s="121" t="n"/>
      <c r="D104" s="121" t="n"/>
      <c r="E104" s="121" t="n"/>
      <c r="F104" s="121" t="n"/>
      <c r="G104" s="121" t="n"/>
      <c r="H104" s="121" t="n"/>
      <c r="I104" s="121" t="n"/>
      <c r="J104" s="121" t="n"/>
      <c r="K104" s="121" t="n"/>
      <c r="L104" s="121" t="n"/>
    </row>
    <row r="105">
      <c r="A105" s="112" t="n"/>
      <c r="B105" s="119" t="n"/>
      <c r="C105" s="119" t="n"/>
      <c r="D105" s="119" t="n"/>
      <c r="E105" s="119" t="n"/>
      <c r="F105" s="119" t="n"/>
      <c r="G105" s="119" t="n"/>
      <c r="H105" s="119" t="n"/>
      <c r="I105" s="119" t="n"/>
      <c r="J105" s="119" t="n"/>
      <c r="K105" s="119" t="n"/>
      <c r="L105" s="119" t="n"/>
    </row>
    <row r="106" ht="9" customHeight="1">
      <c r="A106" s="88" t="inlineStr">
        <is>
          <t>(фамилия, инициалы, подпись)</t>
        </is>
      </c>
      <c r="B106" s="121" t="n"/>
      <c r="C106" s="121" t="n"/>
      <c r="D106" s="121" t="n"/>
      <c r="E106" s="121" t="n"/>
      <c r="F106" s="121" t="n"/>
      <c r="G106" s="121" t="n"/>
      <c r="H106" s="121" t="n"/>
      <c r="I106" s="121" t="n"/>
      <c r="J106" s="121" t="n"/>
      <c r="K106" s="121" t="n"/>
      <c r="L106" s="121" t="n"/>
    </row>
  </sheetData>
  <mergeCells count="101">
    <mergeCell ref="A37:L37"/>
    <mergeCell ref="A21:L21"/>
    <mergeCell ref="A105:L105"/>
    <mergeCell ref="A57:L57"/>
    <mergeCell ref="A26:L26"/>
    <mergeCell ref="A71:L71"/>
    <mergeCell ref="A23:L23"/>
    <mergeCell ref="A91:L91"/>
    <mergeCell ref="A100:L100"/>
    <mergeCell ref="A52:L52"/>
    <mergeCell ref="A93:L93"/>
    <mergeCell ref="A102:L102"/>
    <mergeCell ref="A77:C77"/>
    <mergeCell ref="A34:L34"/>
    <mergeCell ref="A83:L83"/>
    <mergeCell ref="A92:L92"/>
    <mergeCell ref="C67:D67"/>
    <mergeCell ref="A36:L36"/>
    <mergeCell ref="A6:L6"/>
    <mergeCell ref="A75:L75"/>
    <mergeCell ref="E67:F67"/>
    <mergeCell ref="A49:E49"/>
    <mergeCell ref="A3:L3"/>
    <mergeCell ref="A55:L55"/>
    <mergeCell ref="A12:L12"/>
    <mergeCell ref="A95:L95"/>
    <mergeCell ref="A104:L104"/>
    <mergeCell ref="A5:L5"/>
    <mergeCell ref="A32:L32"/>
    <mergeCell ref="A14:L14"/>
    <mergeCell ref="A97:L97"/>
    <mergeCell ref="A106:L106"/>
    <mergeCell ref="A4:L4"/>
    <mergeCell ref="A96:L96"/>
    <mergeCell ref="A38:L38"/>
    <mergeCell ref="A43:L43"/>
    <mergeCell ref="A31:L31"/>
    <mergeCell ref="A58:L58"/>
    <mergeCell ref="B39:K39"/>
    <mergeCell ref="A40:L40"/>
    <mergeCell ref="A73:L73"/>
    <mergeCell ref="A24:L24"/>
    <mergeCell ref="C66:D66"/>
    <mergeCell ref="E66:F66"/>
    <mergeCell ref="A76:D76"/>
    <mergeCell ref="A16:L16"/>
    <mergeCell ref="A25:L25"/>
    <mergeCell ref="A84:C84"/>
    <mergeCell ref="A18:L18"/>
    <mergeCell ref="A50:L50"/>
    <mergeCell ref="F49:L49"/>
    <mergeCell ref="A2:L2"/>
    <mergeCell ref="A86:L86"/>
    <mergeCell ref="A42:L42"/>
    <mergeCell ref="A47:L47"/>
    <mergeCell ref="A22:L22"/>
    <mergeCell ref="K46:L46"/>
    <mergeCell ref="A20:L20"/>
    <mergeCell ref="A13:L13"/>
    <mergeCell ref="A44:L44"/>
    <mergeCell ref="A59:L59"/>
    <mergeCell ref="A64:L64"/>
    <mergeCell ref="A15:L15"/>
    <mergeCell ref="E76:L76"/>
    <mergeCell ref="A51:L51"/>
    <mergeCell ref="A79:C79"/>
    <mergeCell ref="A61:L61"/>
    <mergeCell ref="A88:L88"/>
    <mergeCell ref="A70:L70"/>
    <mergeCell ref="H30:I30"/>
    <mergeCell ref="A54:L54"/>
    <mergeCell ref="A7:L7"/>
    <mergeCell ref="A90:L90"/>
    <mergeCell ref="A41:L41"/>
    <mergeCell ref="H29:I29"/>
    <mergeCell ref="A99:L99"/>
    <mergeCell ref="A89:F89"/>
    <mergeCell ref="C82:L82"/>
    <mergeCell ref="A74:L74"/>
    <mergeCell ref="A27:L27"/>
    <mergeCell ref="A101:L101"/>
    <mergeCell ref="A85:C85"/>
    <mergeCell ref="A33:L33"/>
    <mergeCell ref="A8:L8"/>
    <mergeCell ref="A17:L17"/>
    <mergeCell ref="A35:L35"/>
    <mergeCell ref="A62:L62"/>
    <mergeCell ref="A10:L10"/>
    <mergeCell ref="A19:L19"/>
    <mergeCell ref="A28:L28"/>
    <mergeCell ref="A9:L9"/>
    <mergeCell ref="A48:L48"/>
    <mergeCell ref="A46:J46"/>
    <mergeCell ref="A11:L11"/>
    <mergeCell ref="A103:L103"/>
    <mergeCell ref="A94:L94"/>
    <mergeCell ref="A45:L45"/>
    <mergeCell ref="A1:L1"/>
    <mergeCell ref="A78:C78"/>
    <mergeCell ref="A87:L87"/>
    <mergeCell ref="A65:L65"/>
  </mergeCells>
  <pageMargins left="0.7" right="0.7" top="0.75" bottom="0.75" header="0.3" footer="0.3"/>
  <pageSetup orientation="portrait" paperSize="9" scale="68" fitToHeight="2"/>
  <rowBreaks count="1" manualBreakCount="1">
    <brk id="59" min="0" max="11" man="1"/>
  </rowBreaks>
</worksheet>
</file>

<file path=xl/worksheets/sheet3.xml><?xml version="1.0" encoding="utf-8"?>
<worksheet xmlns:r="http://schemas.openxmlformats.org/officeDocument/2006/relationships" xmlns="http://schemas.openxmlformats.org/spreadsheetml/2006/main">
  <sheetPr codeName="Лист3">
    <outlinePr summaryBelow="1" summaryRight="1"/>
    <pageSetUpPr/>
  </sheetPr>
  <dimension ref="A1:L32"/>
  <sheetViews>
    <sheetView workbookViewId="0">
      <selection activeCell="B2" sqref="B2"/>
    </sheetView>
  </sheetViews>
  <sheetFormatPr baseColWidth="10" defaultRowHeight="16"/>
  <cols>
    <col width="9" customWidth="1" min="1" max="1"/>
    <col width="17.83203125" customWidth="1" min="2" max="2"/>
    <col width="18.33203125" customWidth="1" min="3" max="5"/>
    <col width="57.1640625" customWidth="1" min="6" max="6"/>
    <col width="49.5" customWidth="1" min="7" max="7"/>
    <col width="46.83203125" customWidth="1" min="8" max="8"/>
    <col width="42" customWidth="1" min="9" max="9"/>
    <col width="48.33203125" customWidth="1" min="10" max="10"/>
    <col width="49.33203125" customWidth="1" min="11" max="11"/>
    <col width="44.5" customWidth="1" min="12" max="12"/>
  </cols>
  <sheetData>
    <row r="1" ht="34" customHeight="1">
      <c r="A1" s="59" t="inlineStr">
        <is>
          <t>ИД</t>
        </is>
      </c>
      <c r="B1" s="60" t="inlineStr">
        <is>
          <t>№ акта</t>
        </is>
      </c>
      <c r="C1" s="59" t="inlineStr">
        <is>
          <t>дата акта</t>
        </is>
      </c>
      <c r="D1" s="60" t="inlineStr">
        <is>
          <t>5. 
Дата начала</t>
        </is>
      </c>
      <c r="E1" s="60" t="inlineStr">
        <is>
          <t>5. 
Дата окончания</t>
        </is>
      </c>
      <c r="F1" s="59" t="inlineStr">
        <is>
          <t>1. К освидетельствованию предъявлены следующие работы:</t>
        </is>
      </c>
      <c r="G1" s="59" t="inlineStr">
        <is>
          <t xml:space="preserve">2. Работы выполнены по проектной документации: </t>
        </is>
      </c>
      <c r="H1" s="59" t="inlineStr">
        <is>
          <t>3. При выполнении работ применены:</t>
        </is>
      </c>
      <c r="I1" s="59" t="inlineStr">
        <is>
          <t>4. Предъявлены документы</t>
        </is>
      </c>
      <c r="J1" s="59" t="inlineStr">
        <is>
          <t>6. Работы выполнены в соответствии с</t>
        </is>
      </c>
      <c r="K1" s="59" t="inlineStr">
        <is>
          <t>7. Разрешается производство последующих работ по</t>
        </is>
      </c>
      <c r="L1" s="61" t="inlineStr">
        <is>
          <t>Приложения</t>
        </is>
      </c>
    </row>
    <row r="2" ht="45" customHeight="1">
      <c r="A2" s="1" t="inlineStr">
        <is>
          <t>ИД</t>
        </is>
      </c>
      <c r="B2" s="21" t="inlineStr">
        <is>
          <t>Л-1</t>
        </is>
      </c>
      <c r="C2" s="22" t="n">
        <v>45059</v>
      </c>
      <c r="D2" s="22" t="n">
        <v>45027</v>
      </c>
      <c r="E2" s="22" t="n">
        <v>45059</v>
      </c>
      <c r="F2" s="23" t="inlineStr">
        <is>
          <t>Бетонирование лестниц в осях 43-45/К-П с отметки -0.700 до -0.100</t>
        </is>
      </c>
      <c r="G2" s="24" t="inlineStr">
        <is>
          <t>Шифр: 62-АБД-КЖ2 ООО «МОСРЕГИОНПРОЕКТ»</t>
        </is>
      </c>
      <c r="H2" s="24" t="inlineStr">
        <is>
          <t>Бетонная смесь БСТ В25 П4 F150 W6 ГОСТ 7473-2010  Документы о качестве №4238, №4239, №4240, №4241, №4242, №4245, №4246,  От 11.04.2023г.</t>
        </is>
      </c>
      <c r="I2" s="23" t="inlineStr">
        <is>
          <t>Исполнительная схема на устройство лестницы в осях 43-45/К-П с отметки -0.700 до -0.100</t>
        </is>
      </c>
      <c r="J2" s="25" t="inlineStr">
        <is>
          <t>СП 70.13330.2012 Несущие и ограждающие конструкции. (Актуализированная редакция СНиП 3.03.01-87)</t>
        </is>
      </c>
      <c r="K2" s="23">
        <f>H2</f>
        <v/>
      </c>
      <c r="L2" s="58">
        <f>I2</f>
        <v/>
      </c>
    </row>
    <row r="3" ht="45" customHeight="1">
      <c r="B3" s="21" t="inlineStr">
        <is>
          <t>Л-2</t>
        </is>
      </c>
      <c r="C3" s="22" t="n">
        <v>44989</v>
      </c>
      <c r="D3" s="22" t="n">
        <v>44959</v>
      </c>
      <c r="E3" s="22" t="n">
        <v>44989</v>
      </c>
      <c r="F3" s="23" t="inlineStr">
        <is>
          <t>Бетонирование лестниц в осях 43-45/К-П с отметки -0.100 до +3.800</t>
        </is>
      </c>
      <c r="G3" s="24" t="inlineStr">
        <is>
          <t>Шифр: 62-АБД-КЖ2 ООО «МОСРЕГИОНПРОЕКТ»</t>
        </is>
      </c>
      <c r="H3" s="24" t="inlineStr">
        <is>
          <t>Бетонная смесь БСТ В25 П4 F50 W6 ГОСТ 7473-2010  Документы о качестве №860,  №850, №853, №858, №868  От 02.02.2023г.</t>
        </is>
      </c>
      <c r="I3" s="23" t="inlineStr">
        <is>
          <t>Исполнительная схема на устройство лестницы в осях 43-45/К-П с отметки -0.100 до +3.800</t>
        </is>
      </c>
      <c r="J3" s="25" t="inlineStr">
        <is>
          <t>СП 70.13330.2012 Несущие и ограждающие конструкции. (Актуализированная редакция СНиП 3.03.01-87)</t>
        </is>
      </c>
      <c r="K3" s="23">
        <f>H3</f>
        <v/>
      </c>
      <c r="L3" s="58">
        <f>I3</f>
        <v/>
      </c>
    </row>
    <row r="4" ht="56" customHeight="1">
      <c r="B4" s="21" t="inlineStr">
        <is>
          <t>Л-3</t>
        </is>
      </c>
      <c r="C4" s="22" t="n">
        <v>45013</v>
      </c>
      <c r="D4" s="22" t="n">
        <v>44983</v>
      </c>
      <c r="E4" s="22" t="n">
        <v>45013</v>
      </c>
      <c r="F4" s="23" t="inlineStr">
        <is>
          <t>Бетонирование лестниц в осях 43-45/К-П с отметки +3.800 до +7.700</t>
        </is>
      </c>
      <c r="G4" s="24" t="inlineStr">
        <is>
          <t>Шифр: 62-АБД-КЖ2 ООО «МОСРЕГИОНПРОЕКТ»</t>
        </is>
      </c>
      <c r="H4" s="24" t="inlineStr">
        <is>
          <t>Бетонная смесь БСТ В25 П4 F50 W6 ГОСТ 7473-2010  Документы о качестве №1684, №1685, №1686,№ 1687, №1688, №1689, №1690, №1691, №1697, №1699, №1701, №1714   От 26.02.2023г.</t>
        </is>
      </c>
      <c r="I4" s="23" t="inlineStr">
        <is>
          <t>Исполнительная схема на устройство лестницы в осях 43-45/К-П с отметки +3.800 до +7.700</t>
        </is>
      </c>
      <c r="J4" s="25" t="inlineStr">
        <is>
          <t>СП 70.13330.2012 Несущие и ограждающие конструкции. (Актуализированная редакция СНиП 3.03.01-87)</t>
        </is>
      </c>
      <c r="K4" s="23">
        <f>H4</f>
        <v/>
      </c>
      <c r="L4" s="58">
        <f>I4</f>
        <v/>
      </c>
    </row>
    <row r="5" ht="45" customHeight="1">
      <c r="B5" s="21" t="inlineStr">
        <is>
          <t>Л-4</t>
        </is>
      </c>
      <c r="C5" s="22" t="n">
        <v>45042</v>
      </c>
      <c r="D5" s="22" t="n">
        <v>45010</v>
      </c>
      <c r="E5" s="22" t="n">
        <v>45042</v>
      </c>
      <c r="F5" s="23" t="inlineStr">
        <is>
          <t>Бетонирование лестниц в осях 43-45/К-П с отметки +7.700 до +11.600</t>
        </is>
      </c>
      <c r="G5" s="24" t="inlineStr">
        <is>
          <t>Шифр: 62-АБД-КЖ2 ООО «МОСРЕГИОНПРОЕКТ»</t>
        </is>
      </c>
      <c r="H5" s="24" t="inlineStr">
        <is>
          <t>Бетонная смесь БСТ В25 П4 F50 W6 ГОСТ 7473-2010  Документы о качестве №3310, №3317, №3299,  От 25.03.2023г.</t>
        </is>
      </c>
      <c r="I5" s="23" t="inlineStr">
        <is>
          <t>Исполнительная схема на устройство лестницы в осях 43-45/К-П с отметки +7.700 до +11.600</t>
        </is>
      </c>
      <c r="J5" s="25" t="inlineStr">
        <is>
          <t>СП 70.13330.2012 Несущие и ограждающие конструкции. (Актуализированная редакция СНиП 3.03.01-87)</t>
        </is>
      </c>
      <c r="K5" s="23">
        <f>H5</f>
        <v/>
      </c>
      <c r="L5" s="58">
        <f>I5</f>
        <v/>
      </c>
    </row>
    <row r="6" ht="45" customHeight="1">
      <c r="B6" s="21" t="inlineStr">
        <is>
          <t>Л-5</t>
        </is>
      </c>
      <c r="C6" s="22" t="n">
        <v>45052</v>
      </c>
      <c r="D6" s="22" t="n">
        <v>45023</v>
      </c>
      <c r="E6" s="22" t="n">
        <v>45052</v>
      </c>
      <c r="F6" s="23" t="inlineStr">
        <is>
          <t>Бетонирование лестниц в осях 43-45/К-П с отметки +11.600 до +15.500</t>
        </is>
      </c>
      <c r="G6" s="24" t="inlineStr">
        <is>
          <t>Шифр: 62-АБД-КЖ2 ООО «МОСРЕГИОНПРОЕКТ»</t>
        </is>
      </c>
      <c r="H6" s="24" t="inlineStr">
        <is>
          <t>Бетонная смесь БСТ В25 П4 F50 W6 ГОСТ 7473-2010  Документы о качестве №4036, № 4051  От 07.04.2023</t>
        </is>
      </c>
      <c r="I6" s="23" t="inlineStr">
        <is>
          <t>Исполнительная схема на устройство лестницы в осях 43-45/К-П с отметки +11.600 до +15.500</t>
        </is>
      </c>
      <c r="J6" s="25" t="inlineStr">
        <is>
          <t>СП 70.13330.2012 Несущие и ограждающие конструкции. (Актуализированная редакция СНиП 3.03.01-87)</t>
        </is>
      </c>
      <c r="K6" s="23">
        <f>H6</f>
        <v/>
      </c>
      <c r="L6" s="58">
        <f>I6</f>
        <v/>
      </c>
    </row>
    <row r="7" ht="45" customHeight="1">
      <c r="B7" s="21" t="inlineStr">
        <is>
          <t>Л-6</t>
        </is>
      </c>
      <c r="C7" s="22" t="n">
        <v>45029</v>
      </c>
      <c r="D7" s="22" t="n">
        <v>45000</v>
      </c>
      <c r="E7" s="22" t="n">
        <v>45029</v>
      </c>
      <c r="F7" s="23" t="inlineStr">
        <is>
          <t>Бетонирование лестниц в осях 4-6/К-П  с отметки -0.700 до -0.100</t>
        </is>
      </c>
      <c r="G7" s="24" t="inlineStr">
        <is>
          <t>Шифр: 62-АБД-КЖ2 ООО «МОСРЕГИОНПРОЕКТ»</t>
        </is>
      </c>
      <c r="H7" s="24" t="inlineStr">
        <is>
          <t>Бетонная смесь БСТ В25 П4 F50 W6 ГОСТ 7473-2010  Документы о качестве №2629  От 15.03.2023г.</t>
        </is>
      </c>
      <c r="I7" s="23" t="inlineStr">
        <is>
          <t>Исполнительная схема на устройство лестницы в осях 4-6/К-П  с отметки -0.700 до -0.100</t>
        </is>
      </c>
      <c r="J7" s="25" t="inlineStr">
        <is>
          <t>СП 70.13330.2012 Несущие и ограждающие конструкции. (Актуализированная редакция СНиП 3.03.01-87)</t>
        </is>
      </c>
      <c r="K7" s="23">
        <f>H7</f>
        <v/>
      </c>
      <c r="L7" s="58">
        <f>I7</f>
        <v/>
      </c>
    </row>
    <row r="8" ht="45" customHeight="1">
      <c r="B8" s="21" t="inlineStr">
        <is>
          <t>Л-7</t>
        </is>
      </c>
      <c r="C8" s="22" t="n">
        <v>44903</v>
      </c>
      <c r="D8" s="22" t="n">
        <v>44872</v>
      </c>
      <c r="E8" s="22" t="n">
        <v>44903</v>
      </c>
      <c r="F8" s="23" t="inlineStr">
        <is>
          <t>Бетонирование лестниц в осях 4-6/К-П с отметки  -0.100 до +3.800</t>
        </is>
      </c>
      <c r="G8" s="24" t="inlineStr">
        <is>
          <t>Шифр: 62-АБД-КЖ2 ООО «МОСРЕГИОНПРОЕКТ»</t>
        </is>
      </c>
      <c r="H8" s="24" t="inlineStr">
        <is>
          <t>Бетонная смесь БСТ В25 П4 F50 W6 ГОСТ 7473-2010  Документы о качестве №2874,№2875,№2873, №2876, №2878  От 07.11.2022</t>
        </is>
      </c>
      <c r="I8" s="23" t="inlineStr">
        <is>
          <t>Исполнительная схема на устройство лестницы в осях 4-6/К-П с отметки -0.700 до +3.800</t>
        </is>
      </c>
      <c r="J8" s="25" t="inlineStr">
        <is>
          <t>СП 70.13330.2012 Несущие и ограждающие конструкции. (Актуализированная редакция СНиП 3.03.01-87)</t>
        </is>
      </c>
      <c r="K8" s="23">
        <f>H8</f>
        <v/>
      </c>
      <c r="L8" s="58">
        <f>I8</f>
        <v/>
      </c>
    </row>
    <row r="9" ht="45" customHeight="1">
      <c r="B9" s="21" t="inlineStr">
        <is>
          <t>Л-8</t>
        </is>
      </c>
      <c r="C9" s="22" t="n">
        <v>44922</v>
      </c>
      <c r="D9" s="22" t="n">
        <v>44895</v>
      </c>
      <c r="E9" s="22" t="n">
        <v>44922</v>
      </c>
      <c r="F9" s="23" t="inlineStr">
        <is>
          <t>Бетонирование лестниц в осях 4-6/К-П с отметки +3.800 до +7.700</t>
        </is>
      </c>
      <c r="G9" s="24" t="inlineStr">
        <is>
          <t>Шифр: 62-АБД-КЖ2 ООО «МОСРЕГИОНПРОЕКТ»</t>
        </is>
      </c>
      <c r="H9" s="24" t="inlineStr">
        <is>
          <t>Бетонная смесь БСТ В25 П4 F100 W10 ГОСТ 7473-2010  Документы о качестве № 18193, №18200  От 30.11.2022г.</t>
        </is>
      </c>
      <c r="I9" s="23" t="inlineStr">
        <is>
          <t>Исполнительная схема на устройство лестницы в осях 4-6/К-П с отметки +3.800 до +7.700</t>
        </is>
      </c>
      <c r="J9" s="25" t="inlineStr">
        <is>
          <t>СП 70.13330.2012 Несущие и ограждающие конструкции. (Актуализированная редакция СНиП 3.03.01-87)</t>
        </is>
      </c>
      <c r="K9" s="23">
        <f>H9</f>
        <v/>
      </c>
      <c r="L9" s="58">
        <f>I9</f>
        <v/>
      </c>
    </row>
    <row r="10" ht="45" customHeight="1">
      <c r="B10" s="21" t="inlineStr">
        <is>
          <t>Л-9</t>
        </is>
      </c>
      <c r="C10" s="22" t="n">
        <v>44976</v>
      </c>
      <c r="D10" s="22" t="n">
        <v>44947</v>
      </c>
      <c r="E10" s="22" t="n">
        <v>44976</v>
      </c>
      <c r="F10" s="23" t="inlineStr">
        <is>
          <t>Бетонирование лестниц в осях 4-6/К-П с отметки +7.700 до +11.600</t>
        </is>
      </c>
      <c r="G10" s="24" t="inlineStr">
        <is>
          <t>Шифр: 62-АБД-КЖ2 ООО «МОСРЕГИОНПРОЕКТ»</t>
        </is>
      </c>
      <c r="H10" s="24" t="inlineStr">
        <is>
          <t>Бетонная смесь БСТ В25 П4 F50 W6 ГОСТ 7473-2010  Документы о качестве №346, №349, №351, №352, №353, №354, №356, №357,№259, №360  От 21.01.2023г.</t>
        </is>
      </c>
      <c r="I10" s="23" t="inlineStr">
        <is>
          <t>Исполнительная схема на устройство лестницы в осях 4-6/К-П с отметки +7.700 до +11.600</t>
        </is>
      </c>
      <c r="J10" s="25" t="inlineStr">
        <is>
          <t>СП 70.13330.2012 Несущие и ограждающие конструкции. (Актуализированная редакция СНиП 3.03.01-87)</t>
        </is>
      </c>
      <c r="K10" s="23">
        <f>H10</f>
        <v/>
      </c>
      <c r="L10" s="58">
        <f>I10</f>
        <v/>
      </c>
    </row>
    <row r="11" ht="45" customHeight="1">
      <c r="B11" s="21" t="inlineStr">
        <is>
          <t>Л-10</t>
        </is>
      </c>
      <c r="C11" s="22" t="n">
        <v>44970</v>
      </c>
      <c r="D11" s="22" t="n">
        <v>44970</v>
      </c>
      <c r="E11" s="22" t="n">
        <v>44970</v>
      </c>
      <c r="F11" s="23" t="inlineStr">
        <is>
          <t>Бетонирование лестниц в осях 4-6/К-П с отметки +11.600 до +15.500</t>
        </is>
      </c>
      <c r="G11" s="24" t="inlineStr">
        <is>
          <t>Шифр: 62-АБД-КЖ2 ООО «МОСРЕГИОНПРОЕКТ»</t>
        </is>
      </c>
      <c r="H11" s="24" t="inlineStr">
        <is>
          <t>Бетонная смесь БСТ В25 П4 F50 W6 ГОСТ 7473-2010  Документы о качестве №133 От 13.02.2023г.</t>
        </is>
      </c>
      <c r="I11" s="23" t="inlineStr">
        <is>
          <t>Исполнительная схема на устройство лестницы в осях 4-6/К-П с отметки +11.600 до +15.500</t>
        </is>
      </c>
      <c r="J11" s="25" t="inlineStr">
        <is>
          <t>СП 70.13330.2012 Несущие и ограждающие конструкции. (Актуализированная редакция СНиП 3.03.01-87)</t>
        </is>
      </c>
      <c r="K11" s="23">
        <f>H11</f>
        <v/>
      </c>
      <c r="L11" s="58">
        <f>I11</f>
        <v/>
      </c>
    </row>
    <row r="12" ht="45" customHeight="1">
      <c r="B12" s="21" t="inlineStr">
        <is>
          <t>Л-11</t>
        </is>
      </c>
      <c r="C12" s="22" t="n">
        <v>44900</v>
      </c>
      <c r="D12" s="22" t="n">
        <v>44900</v>
      </c>
      <c r="E12" s="22" t="n">
        <v>44900</v>
      </c>
      <c r="F12" s="23" t="inlineStr">
        <is>
          <t>Бетонирование лестниц в осях 18-20/А-Г с отметки -0.100 до +3.800</t>
        </is>
      </c>
      <c r="G12" s="24" t="inlineStr">
        <is>
          <t>Шифр: 62-АБД-КЖ2 ООО «МОСРЕГИОНПРОЕКТ»</t>
        </is>
      </c>
      <c r="H12" s="24" t="inlineStr">
        <is>
          <t>Бетонная смесь БСТ В25 П4 F100 W10 ГОСТ 7473-2010  Документы о качестве №18422, №18428  От 05.12.2022г.</t>
        </is>
      </c>
      <c r="I12" s="23" t="inlineStr">
        <is>
          <t>Исполнительная схема на устройство лестницы в осях 18-20/А-Г с отметки -0.100 до +3.800</t>
        </is>
      </c>
      <c r="J12" s="25" t="inlineStr">
        <is>
          <t>СП 70.13330.2012 Несущие и ограждающие конструкции. (Актуализированная редакция СНиП 3.03.01-87)</t>
        </is>
      </c>
      <c r="K12" s="23">
        <f>H12</f>
        <v/>
      </c>
      <c r="L12" s="58">
        <f>I12</f>
        <v/>
      </c>
    </row>
    <row r="13" ht="70" customHeight="1">
      <c r="B13" s="21" t="inlineStr">
        <is>
          <t>Л-12</t>
        </is>
      </c>
      <c r="C13" s="22" t="n">
        <v>44971</v>
      </c>
      <c r="D13" s="22" t="n">
        <v>44974</v>
      </c>
      <c r="E13" s="22" t="n">
        <v>44971</v>
      </c>
      <c r="F13" s="23" t="inlineStr">
        <is>
          <t>Бетонирование лестниц в осях 18-20/А-Г с отметки +3.800 до +7.700</t>
        </is>
      </c>
      <c r="G13" s="24" t="inlineStr">
        <is>
          <t>Шифр: 62-АБД-КЖ2 ООО «МОСРЕГИОНПРОЕКТ»</t>
        </is>
      </c>
      <c r="H13" s="24" t="inlineStr">
        <is>
          <t>Бетонная смесь БСТ В25 П4 F50 W6 ГОСТ 7473-2010  Документы о качестве №1411, №1410, №1412, №1413, №1415, №1420,№1425, №1423, №1427, №1437, №1433, №1435,№1438, №1441, №1443, №1445, №1449, №1458  От 17.02.2023г.</t>
        </is>
      </c>
      <c r="I13" s="23" t="inlineStr">
        <is>
          <t>Исполнительная схема на устройство лестницы в осях 18-20/А-Г с отметки +3.800 до +7.700</t>
        </is>
      </c>
      <c r="J13" s="25" t="inlineStr">
        <is>
          <t>СП 70.13330.2012 Несущие и ограждающие конструкции. (Актуализированная редакция СНиП 3.03.01-87)</t>
        </is>
      </c>
      <c r="K13" s="23">
        <f>H13</f>
        <v/>
      </c>
      <c r="L13" s="58">
        <f>I13</f>
        <v/>
      </c>
    </row>
    <row r="14" ht="56" customHeight="1">
      <c r="B14" s="21" t="inlineStr">
        <is>
          <t>Л-13</t>
        </is>
      </c>
      <c r="C14" s="22" t="n">
        <v>45002</v>
      </c>
      <c r="D14" s="22" t="n">
        <v>45002</v>
      </c>
      <c r="E14" s="22" t="n">
        <v>45002</v>
      </c>
      <c r="F14" s="23" t="inlineStr">
        <is>
          <t>Бетонирование лестниц в осях 18-20/А-Г с отметки +7.700 до +11.600</t>
        </is>
      </c>
      <c r="G14" s="24" t="inlineStr">
        <is>
          <t>Шифр: 62-АБД-КЖ2 ООО «МОСРЕГИОНПРОЕКТ»</t>
        </is>
      </c>
      <c r="H14" s="24" t="inlineStr">
        <is>
          <t>Бетонная смесь БСТ В25 П4 F50 W6 ГОСТ 7473-2010  Документы о качестве №2780, №2774, №2775, №2759, №2758, №2756, №2720, №2690, №2666, №2667, №2664, №2663, №2660, №2662, №2661  От 17.03.2023г.</t>
        </is>
      </c>
      <c r="I14" s="23" t="inlineStr">
        <is>
          <t>Исполнительная схема на устройство лестницы в осях 18-20/А-Г с отметки +7.700 до +11.600</t>
        </is>
      </c>
      <c r="J14" s="25" t="inlineStr">
        <is>
          <t>СП 70.13330.2012 Несущие и ограждающие конструкции. (Актуализированная редакция СНиП 3.03.01-87)</t>
        </is>
      </c>
      <c r="K14" s="23">
        <f>H14</f>
        <v/>
      </c>
      <c r="L14" s="58">
        <f>I14</f>
        <v/>
      </c>
    </row>
    <row r="15" ht="45" customHeight="1">
      <c r="B15" s="21" t="inlineStr">
        <is>
          <t>Л-14</t>
        </is>
      </c>
      <c r="C15" s="22" t="n">
        <v>44945</v>
      </c>
      <c r="D15" s="22" t="n">
        <v>44911</v>
      </c>
      <c r="E15" s="22" t="n">
        <v>44945</v>
      </c>
      <c r="F15" s="23" t="inlineStr">
        <is>
          <t>Бетонирование лестниц в осях 26-28/А-Г с отметки -0.100 до +3.800</t>
        </is>
      </c>
      <c r="G15" s="24" t="inlineStr">
        <is>
          <t>Шифр: 62-АБД-КЖ2 ООО «МОСРЕГИОНПРОЕКТ»</t>
        </is>
      </c>
      <c r="H15" s="24" t="inlineStr">
        <is>
          <t>Бетонная смесь БСТ В25 П4 F100 W10 ГОСТ 7473-2010  Документы о качестве №18830, №18832  От16.12.2022г.</t>
        </is>
      </c>
      <c r="I15" s="23" t="inlineStr">
        <is>
          <t>Исполнительная схема на устройство лестницы в осях 26-28/А-Г с отметки -0.100 до +3.800</t>
        </is>
      </c>
      <c r="J15" s="25" t="inlineStr">
        <is>
          <t>СП 70.13330.2012 Несущие и ограждающие конструкции. (Актуализированная редакция СНиП 3.03.01-87)</t>
        </is>
      </c>
      <c r="K15" s="23">
        <f>H15</f>
        <v/>
      </c>
      <c r="L15" s="58">
        <f>I15</f>
        <v/>
      </c>
    </row>
    <row r="16" ht="45" customHeight="1">
      <c r="B16" s="21" t="inlineStr">
        <is>
          <t>Л-15</t>
        </is>
      </c>
      <c r="C16" s="22" t="n">
        <v>44978</v>
      </c>
      <c r="D16" s="22" t="n">
        <v>44950</v>
      </c>
      <c r="E16" s="22" t="n">
        <v>44978</v>
      </c>
      <c r="F16" s="23" t="inlineStr">
        <is>
          <t>Бетонирование лестниц в осях 26-28/А-Г с отметки +3.800 до +7.700</t>
        </is>
      </c>
      <c r="G16" s="24" t="inlineStr">
        <is>
          <t>Шифр: 62-АБД-КЖ2 ООО «МОСРЕГИОНПРОЕКТ»</t>
        </is>
      </c>
      <c r="H16" s="24" t="inlineStr">
        <is>
          <t>Бетонная смесь БСТ В25 П4 F50 W6 ГОСТ 7473-2010  Документы о качестве №433, №438, №447, №461  От 24.01.2023г.</t>
        </is>
      </c>
      <c r="I16" s="23" t="inlineStr">
        <is>
          <t>Исполнительная схема на устройство лестницы в осях 26-28/А-Г с отметки +3.800 до +7.700</t>
        </is>
      </c>
      <c r="J16" s="25" t="inlineStr">
        <is>
          <t>СП 70.13330.2012 Несущие и ограждающие конструкции. (Актуализированная редакция СНиП 3.03.01-87)</t>
        </is>
      </c>
      <c r="K16" s="23">
        <f>H16</f>
        <v/>
      </c>
      <c r="L16" s="58">
        <f>I16</f>
        <v/>
      </c>
    </row>
    <row r="17" ht="56" customHeight="1">
      <c r="B17" s="21" t="inlineStr">
        <is>
          <t>Л-16</t>
        </is>
      </c>
      <c r="C17" s="22" t="n">
        <v>45004</v>
      </c>
      <c r="D17" s="22" t="n">
        <v>44977</v>
      </c>
      <c r="E17" s="22" t="n">
        <v>45004</v>
      </c>
      <c r="F17" s="23" t="inlineStr">
        <is>
          <t>Бетонирование лестниц в осях 26-28/А-Г с отметки +7.700 до +11.600</t>
        </is>
      </c>
      <c r="G17" s="24" t="inlineStr">
        <is>
          <t>Шифр: 62-АБД-КЖ2 ООО «МОСРЕГИОНПРОЕКТ»</t>
        </is>
      </c>
      <c r="H17" s="24" t="inlineStr">
        <is>
          <t>Бетонная смесь БСТ В25 П4 F50 W6 ГОСТ 7473-2010  Документы о качестве №1553,№1545, №1544, №1542, 31538, №1537, №1533, №1531, №1532, №1534, №1535  От 20.02.2023г.</t>
        </is>
      </c>
      <c r="I17" s="23" t="inlineStr">
        <is>
          <t>Исполнительная схема на устройство лестницы в осях 26-28/А-Г с отметки +7.700 до +11.600</t>
        </is>
      </c>
      <c r="J17" s="25" t="inlineStr">
        <is>
          <t>СП 70.13330.2012 Несущие и ограждающие конструкции. (Актуализированная редакция СНиП 3.03.01-87)</t>
        </is>
      </c>
      <c r="K17" s="23">
        <f>H17</f>
        <v/>
      </c>
      <c r="L17" s="58">
        <f>I17</f>
        <v/>
      </c>
    </row>
    <row r="18" ht="45" customHeight="1">
      <c r="B18" s="21" t="inlineStr">
        <is>
          <t>Л-17</t>
        </is>
      </c>
      <c r="C18" s="22" t="n">
        <v>44936</v>
      </c>
      <c r="D18" s="22" t="n">
        <v>44904</v>
      </c>
      <c r="E18" s="22" t="n">
        <v>44936</v>
      </c>
      <c r="F18" s="23" t="inlineStr">
        <is>
          <t>Бетонирование лестниц в осях 11-14/И-Л с отметки -0.700 до -0.100</t>
        </is>
      </c>
      <c r="G18" s="24" t="inlineStr">
        <is>
          <t>Шифр: 62-АБД-КЖ2 ООО «МОСРЕГИОНПРОЕКТ»</t>
        </is>
      </c>
      <c r="H18" s="24" t="inlineStr">
        <is>
          <t>Бетонная смесь БСТ В25 П4 F50 W6 ГОСТ 7473-2010  Документы о качестве №18577, №18578  От 09.12.2022г.</t>
        </is>
      </c>
      <c r="I18" s="23" t="inlineStr">
        <is>
          <t>Исполнительная схема на устройство лестницы в осях 11-14/И-Л с отметки -0.700 до -0.100</t>
        </is>
      </c>
      <c r="J18" s="25" t="inlineStr">
        <is>
          <t>СП 70.13330.2012 Несущие и ограждающие конструкции. (Актуализированная редакция СНиП 3.03.01-87)</t>
        </is>
      </c>
      <c r="K18" s="23">
        <f>H18</f>
        <v/>
      </c>
      <c r="L18" s="58">
        <f>I18</f>
        <v/>
      </c>
    </row>
    <row r="19" ht="56" customHeight="1">
      <c r="B19" s="21" t="inlineStr">
        <is>
          <t>Л-18</t>
        </is>
      </c>
      <c r="C19" s="22" t="n">
        <v>44967</v>
      </c>
      <c r="D19" s="22" t="n">
        <v>44939</v>
      </c>
      <c r="E19" s="22" t="n">
        <v>44967</v>
      </c>
      <c r="F19" s="23" t="inlineStr">
        <is>
          <t>Бетонирование лестниц в осях 11-14/И-Л с отметки -0.100 до +3.800</t>
        </is>
      </c>
      <c r="G19" s="24" t="inlineStr">
        <is>
          <t>Шифр: 62-АБД-КЖ2 ООО «МОСРЕГИОНПРОЕКТ»</t>
        </is>
      </c>
      <c r="H19" s="24" t="inlineStr">
        <is>
          <t>Бетонная смесь БСТ В25 П4 F50 W6 ГОСТ 7473-2010  Документы о качестве №76, №77, №78, №79, №81, №82, №84, №88, №89, №90, №91, №96, №97,№99, №100, №101, №104, №105  От 13.01.2023г.</t>
        </is>
      </c>
      <c r="I19" s="23" t="inlineStr">
        <is>
          <t>Исполнительная схема на устройство лестницы в осях 11-14/И-Л с отметки -0.100 до +3.800</t>
        </is>
      </c>
      <c r="J19" s="25" t="inlineStr">
        <is>
          <t>СП 70.13330.2012 Несущие и ограждающие конструкции. (Актуализированная редакция СНиП 3.03.01-87)</t>
        </is>
      </c>
      <c r="K19" s="23">
        <f>H19</f>
        <v/>
      </c>
      <c r="L19" s="58">
        <f>I19</f>
        <v/>
      </c>
    </row>
    <row r="20" ht="45" customHeight="1">
      <c r="B20" s="21" t="inlineStr">
        <is>
          <t>Л-19</t>
        </is>
      </c>
      <c r="C20" s="22" t="n">
        <v>44997</v>
      </c>
      <c r="D20" s="22" t="n">
        <v>44972</v>
      </c>
      <c r="E20" s="22" t="n">
        <v>44997</v>
      </c>
      <c r="F20" s="23" t="inlineStr">
        <is>
          <t>Бетонирование лестниц в осях 11-14/И-Л с отметки +3.800 до +7.700</t>
        </is>
      </c>
      <c r="G20" s="24" t="inlineStr">
        <is>
          <t>Шифр: 62-АБД-КЖ2 ООО «МОСРЕГИОНПРОЕКТ»</t>
        </is>
      </c>
      <c r="H20" s="24" t="inlineStr">
        <is>
          <t>Бетонная смесь БСТ В25 П4 F50 W6 ГОСТ 7473-2010  Документы о качестве №1359, №1361, 1365 От 15.02.2023г.</t>
        </is>
      </c>
      <c r="I20" s="23" t="inlineStr">
        <is>
          <t>Исполнительная схема на устройство лестницы в осях 11-14/И-Л с отметки +3.800 до +7.700</t>
        </is>
      </c>
      <c r="J20" s="25" t="inlineStr">
        <is>
          <t>СП 70.13330.2012 Несущие и ограждающие конструкции. (Актуализированная редакция СНиП 3.03.01-87)</t>
        </is>
      </c>
      <c r="K20" s="23">
        <f>H20</f>
        <v/>
      </c>
      <c r="L20" s="58">
        <f>I20</f>
        <v/>
      </c>
    </row>
    <row r="21" ht="45" customHeight="1">
      <c r="B21" s="21" t="inlineStr">
        <is>
          <t>Л-20</t>
        </is>
      </c>
      <c r="C21" s="22" t="n">
        <v>45023</v>
      </c>
      <c r="D21" s="22" t="n">
        <v>44991</v>
      </c>
      <c r="E21" s="22" t="n">
        <v>45023</v>
      </c>
      <c r="F21" s="23" t="inlineStr">
        <is>
          <t>Бетонирование лестниц в осях 11-14/И-Л с отметки +7.700 до +11.600</t>
        </is>
      </c>
      <c r="G21" s="24" t="inlineStr">
        <is>
          <t>Шифр: 62-АБД-КЖ2 ООО «МОСРЕГИОНПРОЕКТ»</t>
        </is>
      </c>
      <c r="H21" s="24" t="inlineStr">
        <is>
          <t>Бетонная смесь БСТ В25 П4 F50 W6 ГОСТ 7473-2010  Документы о качестве №2118, №2114  От 06.03.2023г.</t>
        </is>
      </c>
      <c r="I21" s="23" t="inlineStr">
        <is>
          <t>Исполнительная схема на устройство лестницы в осях 11-14/И-Л 
с отметки +7.700 до +11.600</t>
        </is>
      </c>
      <c r="J21" s="25" t="inlineStr">
        <is>
          <t>СП 70.13330.2012 Несущие и ограждающие конструкции. (Актуализированная редакция СНиП 3.03.01-87)</t>
        </is>
      </c>
      <c r="K21" s="23">
        <f>H21</f>
        <v/>
      </c>
      <c r="L21" s="58">
        <f>I21</f>
        <v/>
      </c>
    </row>
    <row r="22" ht="45" customHeight="1">
      <c r="B22" s="21" t="inlineStr">
        <is>
          <t>Л-21</t>
        </is>
      </c>
      <c r="C22" s="22" t="n">
        <v>45061</v>
      </c>
      <c r="D22" s="22" t="n">
        <v>45030</v>
      </c>
      <c r="E22" s="22" t="n">
        <v>45061</v>
      </c>
      <c r="F22" s="23" t="inlineStr">
        <is>
          <t>Бетонирование лестниц в осях 11-14/И-Л с отметки +11.600 до +15.500</t>
        </is>
      </c>
      <c r="G22" s="24" t="inlineStr">
        <is>
          <t>Шифр: 62-АБД-КЖ2 ООО «МОСРЕГИОНПРОЕКТ»</t>
        </is>
      </c>
      <c r="H22" s="24" t="inlineStr">
        <is>
          <t>Бетонная смесь БСТ В25 П4 F50 W6 ГОСТ 7473-2010  Документы о качестве №4392, №4394, №4396  От 14.04.2023</t>
        </is>
      </c>
      <c r="I22" s="23" t="inlineStr">
        <is>
          <t>Исполнительная схема на устройство лестницы в осях 11-14/И-Л с отметки +11.600 до +15.500</t>
        </is>
      </c>
      <c r="J22" s="25" t="inlineStr">
        <is>
          <t>СП 70.13330.2012 Несущие и ограждающие конструкции. (Актуализированная редакция СНиП 3.03.01-87)</t>
        </is>
      </c>
      <c r="K22" s="23">
        <f>H22</f>
        <v/>
      </c>
      <c r="L22" s="58">
        <f>I22</f>
        <v/>
      </c>
    </row>
    <row r="23" ht="45" customHeight="1">
      <c r="B23" s="21" t="inlineStr">
        <is>
          <t>Л-22</t>
        </is>
      </c>
      <c r="C23" s="22" t="n">
        <v>44936</v>
      </c>
      <c r="D23" s="22" t="n">
        <v>44909</v>
      </c>
      <c r="E23" s="22" t="n">
        <v>44936</v>
      </c>
      <c r="F23" s="23" t="inlineStr">
        <is>
          <t>Бетонирование лестниц в осях 33-38/И-Л с отметки -0.700 до -0.100</t>
        </is>
      </c>
      <c r="G23" s="24" t="inlineStr">
        <is>
          <t>Шифр: 62-АБД-КЖ2 ООО «МОСРЕГИОНПРОЕКТ»</t>
        </is>
      </c>
      <c r="H23" s="24" t="inlineStr">
        <is>
          <t>Бетонная смесь БСТ В25 П4 F50 W6 ГОСТ 7473-2010  Документы о качестве №18774, №18782, №18784, №18785, №18786, №18787, №18788, №18789, №18790 От 14.12.2022</t>
        </is>
      </c>
      <c r="I23" s="23" t="inlineStr">
        <is>
          <t>Исполнительная схема на устройство лестницы в осях 33-38/И-Л с отметки -0.700 до -0.100</t>
        </is>
      </c>
      <c r="J23" s="25" t="inlineStr">
        <is>
          <t>СП 70.13330.2012 Несущие и ограждающие конструкции. (Актуализированная редакция СНиП 3.03.01-87)</t>
        </is>
      </c>
      <c r="K23" s="23">
        <f>H23</f>
        <v/>
      </c>
      <c r="L23" s="58">
        <f>I23</f>
        <v/>
      </c>
    </row>
    <row r="24" ht="45" customHeight="1">
      <c r="B24" s="21" t="inlineStr">
        <is>
          <t>Л-23</t>
        </is>
      </c>
      <c r="C24" s="22" t="n">
        <v>44980</v>
      </c>
      <c r="D24" s="22" t="n">
        <v>44952</v>
      </c>
      <c r="E24" s="22" t="n">
        <v>44980</v>
      </c>
      <c r="F24" s="23" t="inlineStr">
        <is>
          <t>Бетонирование лестниц в осях 33-38/И-Л с отметки -0.100 до +3.800</t>
        </is>
      </c>
      <c r="G24" s="24" t="inlineStr">
        <is>
          <t>Шифр: 62-АБД-КЖ2 ООО «МОСРЕГИОНПРОЕКТ»</t>
        </is>
      </c>
      <c r="H24" s="24" t="inlineStr">
        <is>
          <t>Бетонная смесь БСТ В25 П4 F50 W6 ГОСТ 7473-2010  Документы о качестве №545, №524, №527, №540, №549 От 26.01.2023г.</t>
        </is>
      </c>
      <c r="I24" s="23" t="inlineStr">
        <is>
          <t>Исполнительная схема на устройство лестницы в осях 33-38/И-Л с отметки -0.100 до +3.800</t>
        </is>
      </c>
      <c r="J24" s="25" t="inlineStr">
        <is>
          <t>СП 70.13330.2012 Несущие и ограждающие конструкции. (Актуализированная редакция СНиП 3.03.01-87)</t>
        </is>
      </c>
      <c r="K24" s="23">
        <f>H24</f>
        <v/>
      </c>
      <c r="L24" s="58">
        <f>I24</f>
        <v/>
      </c>
    </row>
    <row r="25" ht="45" customHeight="1">
      <c r="B25" s="21" t="inlineStr">
        <is>
          <t>Л-24</t>
        </is>
      </c>
      <c r="C25" s="22" t="n">
        <v>45005</v>
      </c>
      <c r="D25" s="22" t="n">
        <v>44982</v>
      </c>
      <c r="E25" s="22" t="n">
        <v>45005</v>
      </c>
      <c r="F25" s="23" t="inlineStr">
        <is>
          <t>Бетонирование лестниц в осях 33-38/И-Л с отметки +3.800 до +7.700</t>
        </is>
      </c>
      <c r="G25" s="24" t="inlineStr">
        <is>
          <t>Шифр: 62-АБД-КЖ2 ООО «МОСРЕГИОНПРОЕКТ»</t>
        </is>
      </c>
      <c r="H25" s="24" t="inlineStr">
        <is>
          <t>Бетонная смесь БСТ В25 П4 F50 W6 ГОСТ 7473-2010  Документы о качестве №1617, №1677, №1668  От 25.02.2023г.</t>
        </is>
      </c>
      <c r="I25" s="23" t="inlineStr">
        <is>
          <t>Исполнительная схема на устройство лестницы в осях 33-38/И-Л с отметки +3.800 до +7.700</t>
        </is>
      </c>
      <c r="J25" s="25" t="inlineStr">
        <is>
          <t>СП 70.13330.2012 Несущие и ограждающие конструкции. (Актуализированная редакция СНиП 3.03.01-87)</t>
        </is>
      </c>
      <c r="K25" s="23">
        <f>H25</f>
        <v/>
      </c>
      <c r="L25" s="58">
        <f>I25</f>
        <v/>
      </c>
    </row>
    <row r="26" ht="45" customHeight="1">
      <c r="B26" s="21" t="inlineStr">
        <is>
          <t>Л-25</t>
        </is>
      </c>
      <c r="C26" s="22" t="n">
        <v>45035</v>
      </c>
      <c r="D26" s="22" t="n">
        <v>45003</v>
      </c>
      <c r="E26" s="22" t="n">
        <v>45035</v>
      </c>
      <c r="F26" s="23" t="inlineStr">
        <is>
          <t>Бетонирование лестниц в осях 33-38/И-Л с отметки +7.700 до +11.600</t>
        </is>
      </c>
      <c r="G26" s="24" t="inlineStr">
        <is>
          <t>Шифр: 62-АБД-КЖ2 ООО «МОСРЕГИОНПРОЕКТ»</t>
        </is>
      </c>
      <c r="H26" s="24" t="inlineStr">
        <is>
          <t>Бетонная смесь БСТ В25 П4 F50 W6 ГОСТ 7473-2010  Документы о качестве №2816, №2812, №2806  От 18.03.2023г.</t>
        </is>
      </c>
      <c r="I26" s="23" t="inlineStr">
        <is>
          <t>Исполнительная схема на устройство лестницы в осях 33-38/И-Л с отметки +7.700 до +11.600</t>
        </is>
      </c>
      <c r="J26" s="25" t="inlineStr">
        <is>
          <t>СП 70.13330.2012 Несущие и ограждающие конструкции. (Актуализированная редакция СНиП 3.03.01-87)</t>
        </is>
      </c>
      <c r="K26" s="23">
        <f>H26</f>
        <v/>
      </c>
      <c r="L26" s="58">
        <f>I26</f>
        <v/>
      </c>
    </row>
    <row r="27" ht="45" customHeight="1">
      <c r="B27" s="21" t="inlineStr">
        <is>
          <t>Л-26</t>
        </is>
      </c>
      <c r="C27" s="22" t="n">
        <v>45055</v>
      </c>
      <c r="D27" s="22" t="n">
        <v>45024</v>
      </c>
      <c r="E27" s="22" t="n">
        <v>45055</v>
      </c>
      <c r="F27" s="23" t="inlineStr">
        <is>
          <t>Бетонирование лестниц в осях 33-38/И-Л с отметки +11.600 до +15.500</t>
        </is>
      </c>
      <c r="G27" s="24" t="inlineStr">
        <is>
          <t>Шифр: 62-АБД-КЖ2 ООО «МОСРЕГИОНПРОЕКТ»</t>
        </is>
      </c>
      <c r="H27" s="24" t="inlineStr">
        <is>
          <t>Бетонная смесь БСТ В25 П4 F150 W6 ГОСТ 7473-2010  Документы о качестве №4126, №4122,№413  От 08.04.2023</t>
        </is>
      </c>
      <c r="I27" s="23" t="inlineStr">
        <is>
          <t>Исполнительная схема на устройство лестницы в осях 33-38/И-Л с отметки +11.600 до +15.500</t>
        </is>
      </c>
      <c r="J27" s="25" t="inlineStr">
        <is>
          <t>СП 70.13330.2012 Несущие и ограждающие конструкции. (Актуализированная редакция СНиП 3.03.01-87)</t>
        </is>
      </c>
      <c r="K27" s="23">
        <f>H27</f>
        <v/>
      </c>
      <c r="L27" s="58">
        <f>I27</f>
        <v/>
      </c>
    </row>
    <row r="28" ht="45" customHeight="1">
      <c r="B28" s="21" t="inlineStr">
        <is>
          <t>Л-27</t>
        </is>
      </c>
      <c r="C28" s="22" t="n">
        <v>44897</v>
      </c>
      <c r="D28" s="22" t="n">
        <v>44866</v>
      </c>
      <c r="E28" s="22" t="n">
        <v>44897</v>
      </c>
      <c r="F28" s="23" t="inlineStr">
        <is>
          <t>Бетонирование лестниц в осях 34-36/ГГ-ДД с отметки -0.700 до -0.100</t>
        </is>
      </c>
      <c r="G28" s="24" t="inlineStr">
        <is>
          <t>Шифр: 62-АБД-КЖ2 ООО «МОСРЕГИОНПРОЕКТ»</t>
        </is>
      </c>
      <c r="H28" s="24" t="inlineStr">
        <is>
          <t>Бетонная смесь БСТ В25 П4 F50 W6 ГОСТ 7473-2010  Документы о качестве №2830, №2829, №2827, №2822  От 01.11.2022г.</t>
        </is>
      </c>
      <c r="I28" s="23" t="inlineStr">
        <is>
          <t>Исполнительная схема на устройство лестницы в осях 34-36/ГГ-ДД с отметки -0.700 до -0.100</t>
        </is>
      </c>
      <c r="J28" s="25" t="inlineStr">
        <is>
          <t>СП 70.13330.2012 Несущие и ограждающие конструкции. (Актуализированная редакция СНиП 3.03.01-87)</t>
        </is>
      </c>
      <c r="K28" s="23">
        <f>H28</f>
        <v/>
      </c>
      <c r="L28" s="58">
        <f>I28</f>
        <v/>
      </c>
    </row>
    <row r="29" ht="45" customHeight="1">
      <c r="B29" s="21" t="inlineStr">
        <is>
          <t>Л-28</t>
        </is>
      </c>
      <c r="C29" s="22" t="n">
        <v>44903</v>
      </c>
      <c r="D29" s="22" t="n">
        <v>44876</v>
      </c>
      <c r="E29" s="22" t="n">
        <v>44903</v>
      </c>
      <c r="F29" s="23" t="inlineStr">
        <is>
          <t>Бетонирование лестниц в осях 34-36/ГГ-ДД с отметки -0.100 до +3.800</t>
        </is>
      </c>
      <c r="G29" s="24" t="inlineStr">
        <is>
          <t>Шифр: 62-АБД-КЖ2 ООО «МОСРЕГИОНПРОЕКТ»</t>
        </is>
      </c>
      <c r="H29" s="24" t="inlineStr">
        <is>
          <t>Бетонная смесь БСТ В25 П4 F100 W10 ГОСТ 7473-2010  Документы о качестве №2906, №2902, №2903, №2904  От 11.11.2022г.</t>
        </is>
      </c>
      <c r="I29" s="23" t="inlineStr">
        <is>
          <t>Исполнительная схема на устройство лестницы в осях 34-36/ГГ-ДД с отметки -0.100 до +3.800</t>
        </is>
      </c>
      <c r="J29" s="25" t="inlineStr">
        <is>
          <t>СП 70.13330.2012 Несущие и ограждающие конструкции. (Актуализированная редакция СНиП 3.03.01-87)</t>
        </is>
      </c>
      <c r="K29" s="23">
        <f>H29</f>
        <v/>
      </c>
      <c r="L29" s="58">
        <f>I29</f>
        <v/>
      </c>
    </row>
    <row r="30" ht="45" customHeight="1">
      <c r="B30" s="21" t="inlineStr">
        <is>
          <t>Л-29</t>
        </is>
      </c>
      <c r="C30" s="22" t="n">
        <v>44907</v>
      </c>
      <c r="D30" s="22" t="n">
        <v>44878</v>
      </c>
      <c r="E30" s="22" t="n">
        <v>44907</v>
      </c>
      <c r="F30" s="23" t="inlineStr">
        <is>
          <t>Бетонирование лестниц в осях 34-36/ГГ-ДД с отметки +3.800 до +7.700</t>
        </is>
      </c>
      <c r="G30" s="24" t="inlineStr">
        <is>
          <t>Шифр: 62-АБД-КЖ2 ООО «МОСРЕГИОНПРОЕКТ»</t>
        </is>
      </c>
      <c r="H30" s="24" t="inlineStr">
        <is>
          <t>Бетонная смесь БСТ В25 П4 F50 W4 ГОСТ 7473-2010  Документы о качестве №2935, №2936, №2937, №2938, №2939, №2940, №2941, №2942 От 13.11.2022</t>
        </is>
      </c>
      <c r="I30" s="23" t="inlineStr">
        <is>
          <t>Исполнительная схема на устройство лестницы в осях 34-36/ГГ-ДД с отметки +3.800 до +7.700</t>
        </is>
      </c>
      <c r="J30" s="25" t="inlineStr">
        <is>
          <t>СП 70.13330.2012 Несущие и ограждающие конструкции. (Актуализированная редакция СНиП 3.03.01-87)</t>
        </is>
      </c>
      <c r="K30" s="23">
        <f>H30</f>
        <v/>
      </c>
      <c r="L30" s="58">
        <f>I30</f>
        <v/>
      </c>
    </row>
    <row r="31" ht="45" customHeight="1">
      <c r="B31" s="21" t="inlineStr">
        <is>
          <t>Л-30</t>
        </is>
      </c>
      <c r="C31" s="22" t="n">
        <v>44910</v>
      </c>
      <c r="D31" s="22" t="n">
        <v>44881</v>
      </c>
      <c r="E31" s="22" t="n">
        <v>44910</v>
      </c>
      <c r="F31" s="23" t="inlineStr">
        <is>
          <t>Бетонирование лестниц в осях 34-36/ГГ-ДД с отметки +7.700 до +11.600</t>
        </is>
      </c>
      <c r="G31" s="24" t="inlineStr">
        <is>
          <t>Шифр: 62-АБД-КЖ2 ООО «МОСРЕГИОНПРОЕКТ»</t>
        </is>
      </c>
      <c r="H31" s="24" t="inlineStr">
        <is>
          <t>Бетонная смесь БСТ В25 П4 F100 W10 ГОСТ 7473-2010  Документы о качестве №2969, №2966, №2967,№2968,  О т16.11.2022</t>
        </is>
      </c>
      <c r="I31" s="23" t="inlineStr">
        <is>
          <t>Исполнительная схема на устройство лестницы в осях 34-36/ГГ-ДД с отметки +7.700 до +11.600</t>
        </is>
      </c>
      <c r="J31" s="25" t="inlineStr">
        <is>
          <t>СП 70.13330.2012 Несущие и ограждающие конструкции. (Актуализированная редакция СНиП 3.03.01-87)</t>
        </is>
      </c>
      <c r="K31" s="23">
        <f>H31</f>
        <v/>
      </c>
      <c r="L31" s="58">
        <f>I31</f>
        <v/>
      </c>
    </row>
    <row r="32" ht="45" customHeight="1">
      <c r="B32" s="21" t="inlineStr">
        <is>
          <t>Л-31</t>
        </is>
      </c>
      <c r="C32" s="22" t="n">
        <v>44922</v>
      </c>
      <c r="D32" s="22" t="n">
        <v>44891</v>
      </c>
      <c r="E32" s="22" t="n">
        <v>44922</v>
      </c>
      <c r="F32" s="23" t="inlineStr">
        <is>
          <t>Бетонирование лестниц в осях 34-36/ГГ-ДД с отметки +11.600 до +15.500</t>
        </is>
      </c>
      <c r="G32" s="24" t="inlineStr">
        <is>
          <t>Шифр: 62-АБД-КЖ2 ООО «МОСРЕГИОНПРОЕКТ»</t>
        </is>
      </c>
      <c r="H32" s="24" t="inlineStr">
        <is>
          <t>Бетонная смесь БСТ В25 П4 F50 W4 ГОСТ 7473-2010  Документы о качестве №18058, №18059, №18061, №18063, №18067, №18069, №18070, №18071 О т26.11.2022</t>
        </is>
      </c>
      <c r="I32" s="23" t="inlineStr">
        <is>
          <t>Исполнительная схема на устройство лестницы в осях 34-36/ГГ-ДД с отметки +11.600 до +15.500</t>
        </is>
      </c>
      <c r="J32" s="25" t="inlineStr">
        <is>
          <t>СП 70.13330.2012 Несущие и ограждающие конструкции. (Актуализированная редакция СНиП 3.03.01-87)</t>
        </is>
      </c>
      <c r="K32" s="23">
        <f>H32</f>
        <v/>
      </c>
      <c r="L32" s="58">
        <f>I32</f>
        <v/>
      </c>
    </row>
  </sheetData>
  <pageMargins left="0.7" right="0.7" top="0.75" bottom="0.75" header="0.3" footer="0.3"/>
  <pageSetup orientation="portrait" paperSize="9" horizontalDpi="0" verticalDpi="0"/>
  <tableParts count="1">
    <tablePart r:id="rId1"/>
  </tableParts>
</worksheet>
</file>

<file path=xl/worksheets/sheet4.xml><?xml version="1.0" encoding="utf-8"?>
<worksheet xmlns="http://schemas.openxmlformats.org/spreadsheetml/2006/main">
  <sheetPr codeName="Лист7">
    <outlinePr summaryBelow="1" summaryRight="1"/>
    <pageSetUpPr/>
  </sheetPr>
  <dimension ref="A1:A1"/>
  <sheetViews>
    <sheetView workbookViewId="0">
      <selection activeCell="A1" sqref="A1"/>
    </sheetView>
  </sheetViews>
  <sheetFormatPr baseColWidth="10" defaultRowHeight="16"/>
  <sheetData/>
  <pageMargins left="0.7" right="0.7" top="0.75" bottom="0.75" header="0.3" footer="0.3"/>
</worksheet>
</file>

<file path=xl/worksheets/sheet5.xml><?xml version="1.0" encoding="utf-8"?>
<worksheet xmlns="http://schemas.openxmlformats.org/spreadsheetml/2006/main">
  <sheetPr codeName="Лист8">
    <outlinePr summaryBelow="1" summaryRight="1"/>
    <pageSetUpPr/>
  </sheetPr>
  <dimension ref="N25:N25"/>
  <sheetViews>
    <sheetView workbookViewId="0">
      <selection activeCell="F28" sqref="F28"/>
    </sheetView>
  </sheetViews>
  <sheetFormatPr baseColWidth="10" defaultRowHeight="16"/>
  <sheetData>
    <row r="25">
      <c r="N25" t="n">
        <v>1</v>
      </c>
    </row>
  </sheetData>
  <pageMargins left="0.7" right="0.7" top="0.75" bottom="0.75" header="0.3" footer="0.3"/>
</worksheet>
</file>

<file path=xl/worksheets/sheet6.xml><?xml version="1.0" encoding="utf-8"?>
<worksheet xmlns:r="http://schemas.openxmlformats.org/officeDocument/2006/relationships" xmlns="http://schemas.openxmlformats.org/spreadsheetml/2006/main">
  <sheetPr codeName="Лист4">
    <outlinePr summaryBelow="1" summaryRight="1"/>
    <pageSetUpPr/>
  </sheetPr>
  <dimension ref="A1:L79"/>
  <sheetViews>
    <sheetView topLeftCell="J1" workbookViewId="0">
      <selection activeCell="E2" sqref="E2"/>
    </sheetView>
  </sheetViews>
  <sheetFormatPr baseColWidth="10" defaultRowHeight="16"/>
  <cols>
    <col width="9" customWidth="1" min="1" max="1"/>
    <col width="17.83203125" customWidth="1" min="2" max="2"/>
    <col width="18.33203125" customWidth="1" min="3" max="3"/>
    <col width="16.33203125" customWidth="1" min="4" max="4"/>
    <col width="19.6640625" customWidth="1" min="5" max="5"/>
    <col width="57.1640625" customWidth="1" min="6" max="6"/>
    <col width="49.5" customWidth="1" min="7" max="7"/>
    <col width="46.83203125" customWidth="1" min="8" max="8"/>
    <col width="42" customWidth="1" min="9" max="9"/>
    <col width="48.33203125" customWidth="1" min="10" max="10"/>
    <col width="49.33203125" customWidth="1" min="11" max="11"/>
    <col width="44.5" customWidth="1" min="12" max="12"/>
  </cols>
  <sheetData>
    <row r="1" ht="17" customHeight="1">
      <c r="A1" s="55" t="inlineStr">
        <is>
          <t>ИД</t>
        </is>
      </c>
      <c r="B1" s="56" t="inlineStr">
        <is>
          <t>№ акта</t>
        </is>
      </c>
      <c r="C1" s="55" t="inlineStr">
        <is>
          <t>дата акта</t>
        </is>
      </c>
      <c r="D1" s="55" t="inlineStr">
        <is>
          <t>5. Дата начала</t>
        </is>
      </c>
      <c r="E1" s="55" t="inlineStr">
        <is>
          <t>5. Дата окончания</t>
        </is>
      </c>
      <c r="F1" s="55" t="inlineStr">
        <is>
          <t>1. К освидетельствованию предъявлены следующие работы:</t>
        </is>
      </c>
      <c r="G1" s="55" t="inlineStr">
        <is>
          <t xml:space="preserve">2. Работы выполнены по проектной документации: </t>
        </is>
      </c>
      <c r="H1" s="55" t="inlineStr">
        <is>
          <t>3. При выполнении работ применены:</t>
        </is>
      </c>
      <c r="I1" s="55" t="inlineStr">
        <is>
          <t>4. Предъявлены документы</t>
        </is>
      </c>
      <c r="J1" s="55" t="inlineStr">
        <is>
          <t>6. Работы выполнены в соответствии с</t>
        </is>
      </c>
      <c r="K1" s="55" t="inlineStr">
        <is>
          <t>7. Разрешается производство последующих работ по</t>
        </is>
      </c>
      <c r="L1" s="57" t="inlineStr">
        <is>
          <t>Приложения</t>
        </is>
      </c>
    </row>
    <row r="2" ht="90" customHeight="1">
      <c r="A2" s="1" t="inlineStr">
        <is>
          <t>ИД</t>
        </is>
      </c>
      <c r="B2" s="27" t="inlineStr">
        <is>
          <t>№ ГП/115</t>
        </is>
      </c>
      <c r="C2" s="2" t="inlineStr">
        <is>
          <t>"03" июня 2022 г.</t>
        </is>
      </c>
      <c r="D2" s="2" t="inlineStr">
        <is>
          <t>"01" июня 2022 г.</t>
        </is>
      </c>
      <c r="E2" s="2" t="inlineStr">
        <is>
          <t>"03" июня 2022 г.</t>
        </is>
      </c>
      <c r="F2" s="28" t="inlineStr">
        <is>
          <t>Разработка грунта под покрытие Тип 1</t>
        </is>
      </c>
      <c r="G2" s="29" t="inlineStr">
        <is>
          <t>Шифр 50-19-02-14-ПЗУ. ООО "СТРОЙ ПРЕСТИЖ"</t>
        </is>
      </c>
      <c r="H2" s="29" t="inlineStr">
        <is>
          <t xml:space="preserve">Полотно нетканое геотекстильное (Дорнит) марки ГИДРОСПАН 400/4,20, паспорт качества №108 от 10.05.2022 г., </t>
        </is>
      </c>
      <c r="I2" s="29" t="inlineStr">
        <is>
          <t>Исполнительная схема№ ГП/115 "Разработка грунта под покрытие Тип 1"</t>
        </is>
      </c>
      <c r="J2"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2" s="29" t="inlineStr">
        <is>
          <t>Устройство геотекстиля под покрытие Тип 1</t>
        </is>
      </c>
      <c r="L2" s="53" t="inlineStr">
        <is>
          <t>Исполнительная схема№ ГП/115 "Разработка грунта под покрытие Тип 1"</t>
        </is>
      </c>
    </row>
    <row r="3" ht="90" customHeight="1">
      <c r="B3" s="27" t="inlineStr">
        <is>
          <t>№ ГП/116</t>
        </is>
      </c>
      <c r="C3" s="2" t="inlineStr">
        <is>
          <t>"06" июня 2022 г.</t>
        </is>
      </c>
      <c r="D3" s="2" t="inlineStr">
        <is>
          <t>"03" июня 2022 г.</t>
        </is>
      </c>
      <c r="E3" s="2" t="inlineStr">
        <is>
          <t>"06" июня 2022 г.</t>
        </is>
      </c>
      <c r="F3" s="28" t="inlineStr">
        <is>
          <t>Устройство слоя геотекстиля под покрытие Тип 1</t>
        </is>
      </c>
      <c r="G3" s="29" t="inlineStr">
        <is>
          <t>Шифр 50-19-02-14-ПЗУ. ООО "СТРОЙ ПРЕСТИЖ"</t>
        </is>
      </c>
      <c r="H3" s="29" t="inlineStr">
        <is>
          <t xml:space="preserve">Полотно нетканое геотекстильное (Дорнит) марки ГИДРОСПАН 400/4,20, паспорт качества №108 от 10.05.2022 г., </t>
        </is>
      </c>
      <c r="I3" s="29" t="inlineStr">
        <is>
          <t>Исполнительная схема№ ГП/116 "Устройство слоя геотекстиля под покрытие Тип 1"</t>
        </is>
      </c>
      <c r="J3"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3" s="29" t="inlineStr">
        <is>
          <t>Устройство слоя песка под покрытие Тип 1</t>
        </is>
      </c>
      <c r="L3" s="53" t="inlineStr">
        <is>
          <t>Исполнительная схема№ ГП/116 "Устройство слоя геотекстиля под покрытие Тип 1"</t>
        </is>
      </c>
    </row>
    <row r="4" ht="90" customHeight="1">
      <c r="B4" s="27" t="inlineStr">
        <is>
          <t>№ ГП/117</t>
        </is>
      </c>
      <c r="C4" s="2" t="inlineStr">
        <is>
          <t>"07" июня 2022 г.</t>
        </is>
      </c>
      <c r="D4" s="2" t="inlineStr">
        <is>
          <t>"06" июня 2022 г.</t>
        </is>
      </c>
      <c r="E4" s="2" t="inlineStr">
        <is>
          <t>"07" июня 2022 г.</t>
        </is>
      </c>
      <c r="F4" s="28" t="inlineStr">
        <is>
          <t>Устройство слоя песка под покрытие Тип 1</t>
        </is>
      </c>
      <c r="G4" s="29" t="inlineStr">
        <is>
          <t>Шифр 50-19-02-14-ПЗУ. ООО "СТРОЙ ПРЕСТИЖ"</t>
        </is>
      </c>
      <c r="H4" s="31" t="inlineStr">
        <is>
          <t>Песок природный для строительных работ, паспорт №1/21 от 16.04.2022 г., сертификат соответствия №РОСС RU.НВ61.Н02148 срок действия с 10.03.2020 по 09.03.2023 г.</t>
        </is>
      </c>
      <c r="I4" s="29" t="inlineStr">
        <is>
          <t>Исполнительная схема№ ГП/117 "Устройство слоя песка под покрытие Тип 1"</t>
        </is>
      </c>
      <c r="J4"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4" s="29" t="inlineStr">
        <is>
          <t>Устройство геотекстиля под покрытие Тип 1</t>
        </is>
      </c>
      <c r="L4" s="53" t="inlineStr">
        <is>
          <t>Исполнительная схема№ ГП/117 "Устройство слоя песка под покрытие Тип 1"</t>
        </is>
      </c>
    </row>
    <row r="5" ht="90" customHeight="1">
      <c r="B5" s="27" t="inlineStr">
        <is>
          <t>№ ГП/118</t>
        </is>
      </c>
      <c r="C5" s="2" t="inlineStr">
        <is>
          <t>"08" июня 2022 г.</t>
        </is>
      </c>
      <c r="D5" s="2" t="inlineStr">
        <is>
          <t>"07" июня 2022 г.</t>
        </is>
      </c>
      <c r="E5" s="2" t="inlineStr">
        <is>
          <t>"08" июня 2022 г.</t>
        </is>
      </c>
      <c r="F5" s="28" t="inlineStr">
        <is>
          <t>Устройство слоя геотекстиля под покрытие Тип 1</t>
        </is>
      </c>
      <c r="G5" s="29" t="inlineStr">
        <is>
          <t>Шифр 50-19-02-14-ПЗУ. ООО "СТРОЙ ПРЕСТИЖ"</t>
        </is>
      </c>
      <c r="H5" s="29" t="inlineStr">
        <is>
          <t xml:space="preserve">Полотно нетканое геотекстильное (Дорнит) марки ГИДРОСПАН 400/4,20, паспорт качества №108 от 10.05.2022 г., </t>
        </is>
      </c>
      <c r="I5" s="29" t="inlineStr">
        <is>
          <t>Исполнительная схема№ ГП/118 "Устройство слоя геотекстиля под покрытие Тип 1"</t>
        </is>
      </c>
      <c r="J5"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5" s="29" t="inlineStr">
        <is>
          <t>Устройство слоя из щебня 40-60 под покрытие Тип 1</t>
        </is>
      </c>
      <c r="L5" s="53" t="inlineStr">
        <is>
          <t>Исполнительная схема№ ГП/118 "Устройство слоя геотекстиля под покрытие Тип 1"</t>
        </is>
      </c>
    </row>
    <row r="6" ht="90" customHeight="1">
      <c r="B6" s="27" t="inlineStr">
        <is>
          <t>№ ГП/119</t>
        </is>
      </c>
      <c r="C6" s="2" t="inlineStr">
        <is>
          <t>"10" июня 2022 г.</t>
        </is>
      </c>
      <c r="D6" s="2" t="inlineStr">
        <is>
          <t>"08" июня 2022 г.</t>
        </is>
      </c>
      <c r="E6" s="2" t="inlineStr">
        <is>
          <t>"10" июня 2022 г.</t>
        </is>
      </c>
      <c r="F6" s="28" t="inlineStr">
        <is>
          <t>Устройство слоя из щебня 40-60 под покрытие Тип 1</t>
        </is>
      </c>
      <c r="G6" s="29" t="inlineStr">
        <is>
          <t>Шифр 50-19-02-14-ПЗУ. ООО "СТРОЙ ПРЕСТИЖ"</t>
        </is>
      </c>
      <c r="H6" s="29" t="inlineStr">
        <is>
          <t>Паспорт качества на щебень известняковый фракции 40-70, паспорт №б/н от 27.02.2022 г., Сертификат соответствия №РОСС.RU.АГ25.Н12101 срок действия с 17.12.2021 по 16.12.2024 г.</t>
        </is>
      </c>
      <c r="I6" s="29" t="inlineStr">
        <is>
          <t>Исполнительная схема№ ГП/119 "Устройство слоя из щебня 40-60 под покрытие Тип 1"</t>
        </is>
      </c>
      <c r="J6"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 s="29" t="inlineStr">
        <is>
          <t>Устройство слоя из щебня 20-40 под покрытие Тип 1</t>
        </is>
      </c>
      <c r="L6" s="53" t="inlineStr">
        <is>
          <t>Исполнительная схема№ ГП/119 "Устройство слоя из щебня 40-60 под покрытие Тип 1"</t>
        </is>
      </c>
    </row>
    <row r="7" ht="90" customHeight="1">
      <c r="B7" s="27" t="inlineStr">
        <is>
          <t>№ ГП/120</t>
        </is>
      </c>
      <c r="C7" s="2" t="inlineStr">
        <is>
          <t>"13" июня 2022 г.</t>
        </is>
      </c>
      <c r="D7" s="2" t="inlineStr">
        <is>
          <t>"10" июня 2022 г.</t>
        </is>
      </c>
      <c r="E7" s="2" t="inlineStr">
        <is>
          <t>"13" июня 2022 г.</t>
        </is>
      </c>
      <c r="F7" s="32" t="inlineStr">
        <is>
          <t>Устройство слоя из щебня 20-40 под покрытие Тип 1</t>
        </is>
      </c>
      <c r="G7" s="29" t="inlineStr">
        <is>
          <t>Шифр 50-19-02-14-ПЗУ. ООО "СТРОЙ ПРЕСТИЖ"</t>
        </is>
      </c>
      <c r="H7" s="25" t="inlineStr">
        <is>
          <t>Щебень известняковый фракции 20-40, паспорт качества №б/н от 27.02.2022 г., Сертификат соответствия №РОСС.RU.АГ25.Н12101 срок действия с 17.12.2021 по 16.12.2024 г.</t>
        </is>
      </c>
      <c r="I7" s="25" t="inlineStr">
        <is>
          <t>Исполнительная схема№ ГП/120 "Устройство слоя из щебня 20-40 под покрытие Тип 1"</t>
        </is>
      </c>
      <c r="J7"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7" s="30" t="inlineStr">
        <is>
          <t>Устройство слоя из битума под покрытие Тип 1</t>
        </is>
      </c>
      <c r="L7" s="54" t="inlineStr">
        <is>
          <t>Исполнительная схема№ ГП/120 "Устройство слоя из щебня 20-40 под покрытие Тип 1"</t>
        </is>
      </c>
    </row>
    <row r="8" ht="90" customHeight="1">
      <c r="B8" s="27" t="inlineStr">
        <is>
          <t>№ ГП/121</t>
        </is>
      </c>
      <c r="C8" s="2" t="inlineStr">
        <is>
          <t>"15" июня 2022 г.</t>
        </is>
      </c>
      <c r="D8" s="2" t="inlineStr">
        <is>
          <t>"13" июня 2022 г.</t>
        </is>
      </c>
      <c r="E8" s="2" t="inlineStr">
        <is>
          <t>"15" июня 2022 г.</t>
        </is>
      </c>
      <c r="F8" s="32" t="inlineStr">
        <is>
          <t>Устройство слоя из битума под покрытие Тип 1</t>
        </is>
      </c>
      <c r="G8" s="29" t="inlineStr">
        <is>
          <t>Шифр 50-19-02-14-ПЗУ. ООО "СТРОЙ ПРЕСТИЖ"</t>
        </is>
      </c>
      <c r="H8" s="25" t="inlineStr">
        <is>
          <t>Битум нефтяной, паспорт продукции №90-1-08-14 от 03.06.2022 г., декларация о соответствии №ЕАЭС N RU Д-RU.АИ16.В.03915 срок действия с 02.03.2018 по 01.03.2023 г.</t>
        </is>
      </c>
      <c r="I8" s="25" t="inlineStr">
        <is>
          <t>Исполнительная схема№ ГП/121 "Устройство слоя из битума под покрытие Тип 1"</t>
        </is>
      </c>
      <c r="J8"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8" s="30" t="inlineStr">
        <is>
          <t>Устройство слоя из асфальтобетона крупнозернистого под покрытие Тип 1</t>
        </is>
      </c>
      <c r="L8" s="54" t="inlineStr">
        <is>
          <t>Исполнительная схема№ ГП/121 "Устройство слоя из битума под покрытие Тип 1"</t>
        </is>
      </c>
    </row>
    <row r="9" ht="90" customHeight="1">
      <c r="B9" s="27" t="inlineStr">
        <is>
          <t>№ ГП/122</t>
        </is>
      </c>
      <c r="C9" s="2" t="inlineStr">
        <is>
          <t>"15" июня 2022 г.</t>
        </is>
      </c>
      <c r="D9" s="2" t="inlineStr">
        <is>
          <t>"15" июня 2022 г.</t>
        </is>
      </c>
      <c r="E9" s="2" t="inlineStr">
        <is>
          <t>"15" июня 2022 г.</t>
        </is>
      </c>
      <c r="F9" s="33" t="inlineStr">
        <is>
          <t>Устройство слоя из асфальтобетона крупнозернистого под покрытие Тип 1</t>
        </is>
      </c>
      <c r="G9" s="29" t="inlineStr">
        <is>
          <t>Шифр 50-19-02-14-ПЗУ. ООО "СТРОЙ ПРЕСТИЖ"</t>
        </is>
      </c>
      <c r="H9" s="25" t="inlineStr">
        <is>
          <t>Крупнозернистая смесь для плотного асфальтобетоа тип Б марка II для нижнего слоя покрытия, паспорт №580 от 15.06.2022 г.</t>
        </is>
      </c>
      <c r="I9" s="25" t="inlineStr">
        <is>
          <t>Исполнительная схема№ ГП/122 "Устройство слоя из асфальтобетона крупнозернистого под покрытие Тип 1"</t>
        </is>
      </c>
      <c r="J9"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9" s="30" t="inlineStr">
        <is>
          <t>Устройство слоя из песчаного асфальтобетона Тип 1</t>
        </is>
      </c>
      <c r="L9" s="54" t="inlineStr">
        <is>
          <t>Исполнительная схема№ ГП/122 "Устройство слоя из асфальтобетона крупнозернистого под покрытие Тип 1"</t>
        </is>
      </c>
    </row>
    <row r="10" ht="90" customHeight="1">
      <c r="B10" s="27" t="inlineStr">
        <is>
          <t>№ ГП/123</t>
        </is>
      </c>
      <c r="C10" s="2" t="inlineStr">
        <is>
          <t>"27" июня 2022 г.</t>
        </is>
      </c>
      <c r="D10" s="2" t="inlineStr">
        <is>
          <t>"27" июня 2022 г.</t>
        </is>
      </c>
      <c r="E10" s="2" t="inlineStr">
        <is>
          <t>"27" июня 2022 г.</t>
        </is>
      </c>
      <c r="F10" s="33" t="inlineStr">
        <is>
          <t>Устройство слоя из песчаного асфальтобетона Тип 1</t>
        </is>
      </c>
      <c r="G10" s="29" t="inlineStr">
        <is>
          <t>Шифр 50-19-02-14-ПЗУ. ООО "СТРОЙ ПРЕСТИЖ"</t>
        </is>
      </c>
      <c r="H10" s="25" t="inlineStr">
        <is>
          <t>Песчаная асфальтобетонная смесь тип Д марки II для верхнего слоя покрытия, паспорт №636 от 27.06.2022 г., сертификат соответствия №RU.МСС.186.366.36393 срок действия с 15.04.2021 по 15.04.2023 г.</t>
        </is>
      </c>
      <c r="I10" s="25" t="inlineStr">
        <is>
          <t>Исполнительная схема№ ГП/123 "Устройство слоя из песчаного асфальтобетона Тип 1"</t>
        </is>
      </c>
      <c r="J10"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10" s="30" t="inlineStr">
        <is>
          <t>-</t>
        </is>
      </c>
      <c r="L10" s="54" t="inlineStr">
        <is>
          <t>Исполнительная схема№ ГП/123 "Устройство слоя из песчаного асфальтобетона Тип 1"</t>
        </is>
      </c>
    </row>
    <row r="11" ht="75" customHeight="1">
      <c r="B11" s="27" t="inlineStr">
        <is>
          <t>№ ГП/124</t>
        </is>
      </c>
      <c r="C11" s="2" t="inlineStr">
        <is>
          <t>"03" июня 2022 г.</t>
        </is>
      </c>
      <c r="D11" s="2" t="inlineStr">
        <is>
          <t>"01" июня 2022 г.</t>
        </is>
      </c>
      <c r="E11" s="2" t="inlineStr">
        <is>
          <t>"03" июня 2022 г.</t>
        </is>
      </c>
      <c r="F11" s="32" t="inlineStr">
        <is>
          <t>Уплотнение грунта под покрытие Тип 2</t>
        </is>
      </c>
      <c r="G11" s="29" t="inlineStr">
        <is>
          <t>Шифр 50-19-02-14-ПЗУ. ООО "СТРОЙ ПРЕСТИЖ"</t>
        </is>
      </c>
      <c r="H11" s="25" t="inlineStr">
        <is>
          <t>Песчаная асфальтобетонная смесь тип Д марки II для верхнего слоя покрытия, паспорт №636 от 27.06.2022 г., сертификат соответствия №RU.МСС.186.366.36393 срок действия с 15.04.2021 по 15.04.2023 г.</t>
        </is>
      </c>
      <c r="I11" s="25" t="inlineStr">
        <is>
          <t>Исполнительная схема№ ГП/124 "Уплотнение грунта под покрытие Тип 2"</t>
        </is>
      </c>
      <c r="J11"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1" s="30" t="inlineStr">
        <is>
          <t>Устройство геотекстиля под покрытие Тип 2</t>
        </is>
      </c>
      <c r="L11" s="54" t="inlineStr">
        <is>
          <t>Исполнительная схема№ ГП/124 "Уплотнение грунта под покрытие Тип 2"</t>
        </is>
      </c>
    </row>
    <row r="12" ht="75" customHeight="1">
      <c r="B12" s="27" t="inlineStr">
        <is>
          <t>№ ГП/125</t>
        </is>
      </c>
      <c r="C12" s="2" t="inlineStr">
        <is>
          <t>"06" июня 2022 г.</t>
        </is>
      </c>
      <c r="D12" s="2" t="inlineStr">
        <is>
          <t>"03" июня 2022 г.</t>
        </is>
      </c>
      <c r="E12" s="2" t="inlineStr">
        <is>
          <t>"06" июня 2022 г.</t>
        </is>
      </c>
      <c r="F12" s="28" t="inlineStr">
        <is>
          <t>Устройство слоя геотекстиля под покрытие Тип 2</t>
        </is>
      </c>
      <c r="G12" s="29" t="inlineStr">
        <is>
          <t>Шифр 50-19-02-14-ПЗУ. ООО "СТРОЙ ПРЕСТИЖ"</t>
        </is>
      </c>
      <c r="H12" s="29" t="inlineStr">
        <is>
          <t xml:space="preserve">Полотно нетканое геотекстильное (Дорнит) марки ГИДРОСПАН 400/4,20, паспорт качества №108 от 10.05.2022 г., </t>
        </is>
      </c>
      <c r="I12" s="29" t="inlineStr">
        <is>
          <t>Исполнительная схема№ ГП/125 "Устройство слоя геотекстиля под покрытие Тип 2"</t>
        </is>
      </c>
      <c r="J12"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2" s="29" t="inlineStr">
        <is>
          <t>Устройство слоя песка под покрытие Тип 2</t>
        </is>
      </c>
      <c r="L12" s="53" t="inlineStr">
        <is>
          <t>Исполнительная схема№ ГП/125 "Устройство слоя геотекстиля под покрытие Тип 2"</t>
        </is>
      </c>
    </row>
    <row r="13" ht="75" customHeight="1">
      <c r="B13" s="27" t="inlineStr">
        <is>
          <t>№ ГП/126</t>
        </is>
      </c>
      <c r="C13" s="2" t="inlineStr">
        <is>
          <t>"07" июня 2022 г.</t>
        </is>
      </c>
      <c r="D13" s="2" t="inlineStr">
        <is>
          <t>"06" июня 2022 г.</t>
        </is>
      </c>
      <c r="E13" s="2" t="inlineStr">
        <is>
          <t>"07" июня 2022 г.</t>
        </is>
      </c>
      <c r="F13" s="28" t="inlineStr">
        <is>
          <t>Устройство слоя песка под покрытие Тип 2</t>
        </is>
      </c>
      <c r="G13" s="29" t="inlineStr">
        <is>
          <t>Шифр 50-19-02-14-ПЗУ. ООО "СТРОЙ ПРЕСТИЖ"</t>
        </is>
      </c>
      <c r="H13" s="31" t="inlineStr">
        <is>
          <t>Песок природный для строительных работ, паспорт №1/21 от 16.04.2022 г., сертификат соответствия №РОСС RU.НВ61.Н02148 срок действия с 10.03.2020 по 09.03.2023 г.</t>
        </is>
      </c>
      <c r="I13" s="29" t="inlineStr">
        <is>
          <t>Исполнительная схема№ ГП/126 "Устройство слоя песка под покрытие Тип 2"</t>
        </is>
      </c>
      <c r="J13"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3" s="29" t="inlineStr">
        <is>
          <t>Устройство из геотекстиля под покрытие Тип 2</t>
        </is>
      </c>
      <c r="L13" s="53" t="inlineStr">
        <is>
          <t>Исполнительная схема№ ГП/126 "Устройство слоя песка под покрытие Тип 2"</t>
        </is>
      </c>
    </row>
    <row r="14" ht="75" customHeight="1">
      <c r="B14" s="27" t="inlineStr">
        <is>
          <t>№ ГП/127</t>
        </is>
      </c>
      <c r="C14" s="2" t="inlineStr">
        <is>
          <t>"08" июня 2022 г.</t>
        </is>
      </c>
      <c r="D14" s="2" t="inlineStr">
        <is>
          <t>"07" июня 2022 г.</t>
        </is>
      </c>
      <c r="E14" s="2" t="inlineStr">
        <is>
          <t>"08" июня 2022 г.</t>
        </is>
      </c>
      <c r="F14" s="28" t="inlineStr">
        <is>
          <t>Устройство слоя из геотекстиля под покрытие Тип 2</t>
        </is>
      </c>
      <c r="G14" s="29" t="inlineStr">
        <is>
          <t>Шифр 50-19-02-14-ПЗУ. ООО "СТРОЙ ПРЕСТИЖ"</t>
        </is>
      </c>
      <c r="H14" s="29" t="inlineStr">
        <is>
          <t xml:space="preserve">Полотно нетканое геотекстильное (Дорнит) марки ГИДРОСПАН 400/4,20, паспорт качества №108 от 10.05.2022 г., </t>
        </is>
      </c>
      <c r="I14" s="29" t="inlineStr">
        <is>
          <t>Исполнительная схема№ ГП/127 "Устройство слоя из геотекстиля под покрытие Тип 2"</t>
        </is>
      </c>
      <c r="J14"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4" s="29" t="inlineStr">
        <is>
          <t>Устройство слоя из щебня 20-40 под покрытие Тип 2</t>
        </is>
      </c>
      <c r="L14" s="53" t="inlineStr">
        <is>
          <t>Исполнительная схема№ ГП/127 "Устройство слоя из геотекстиля под покрытие Тип 2"</t>
        </is>
      </c>
    </row>
    <row r="15" ht="75" customHeight="1">
      <c r="B15" s="27" t="inlineStr">
        <is>
          <t>№ ГП/128</t>
        </is>
      </c>
      <c r="C15" s="2" t="inlineStr">
        <is>
          <t>"10" июня 2022 г.</t>
        </is>
      </c>
      <c r="D15" s="2" t="inlineStr">
        <is>
          <t>"08" июня 2022 г.</t>
        </is>
      </c>
      <c r="E15" s="2" t="inlineStr">
        <is>
          <t>"10" июня 2022 г.</t>
        </is>
      </c>
      <c r="F15" s="28" t="inlineStr">
        <is>
          <t>Устройство слоя из щебня 20-40 под покрытие Тип 2</t>
        </is>
      </c>
      <c r="G15" s="29" t="inlineStr">
        <is>
          <t>Шифр 50-19-02-14-ПЗУ. ООО "СТРОЙ ПРЕСТИЖ"</t>
        </is>
      </c>
      <c r="H15" s="25" t="inlineStr">
        <is>
          <t>Щебень известняковый фракции 20-40, паспорт качества №б/н от 27.02.2022 г., Сертификат соответствия №РОСС.RU.АГ25.Н12101 срок действия с 17.12.2021 по 16.12.2024 г.</t>
        </is>
      </c>
      <c r="I15" s="29" t="inlineStr">
        <is>
          <t>Исполнительная схема№ ГП/128 "Устройство слоя из щебня 20-40 под покрытие Тип 2"</t>
        </is>
      </c>
      <c r="J15"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5" s="29" t="inlineStr">
        <is>
          <t>Устройство слоя из ЦПС-а под покрытие Тип 2</t>
        </is>
      </c>
      <c r="L15" s="53" t="inlineStr">
        <is>
          <t>Исполнительная схема№ ГП/128 "Устройство слоя из щебня 20-40 под покрытие Тип 2"</t>
        </is>
      </c>
    </row>
    <row r="16" ht="75" customHeight="1">
      <c r="B16" s="27" t="inlineStr">
        <is>
          <t>№ ГП/129</t>
        </is>
      </c>
      <c r="C16" s="2" t="inlineStr">
        <is>
          <t>"13" июня 2022 г.</t>
        </is>
      </c>
      <c r="D16" s="2" t="inlineStr">
        <is>
          <t>"10" июня 2022 г.</t>
        </is>
      </c>
      <c r="E16" s="2" t="inlineStr">
        <is>
          <t>"13" июня 2022 г.</t>
        </is>
      </c>
      <c r="F16" s="28" t="inlineStr">
        <is>
          <t>Устройство слоя из ЦПС-а под покрытие Тип 2</t>
        </is>
      </c>
      <c r="G16" s="29" t="inlineStr">
        <is>
          <t>Шифр 50-19-02-14-ПЗУ. ООО "СТРОЙ ПРЕСТИЖ"</t>
        </is>
      </c>
      <c r="H16" s="29" t="inlineStr">
        <is>
          <t>Смесь сухая цементно-песчаная, паспорт качества №55 от 29.04.2022 г., сертификат соответствия №РОСС RU.32001.04ИБФ1.ОСП18.17941 срок действия с 21.03.2022 по 20.03.2025 г.</t>
        </is>
      </c>
      <c r="I16" s="29" t="inlineStr">
        <is>
          <t>Исполнительная схема№ ГП/129 "Устройство слоя из ЦПС-а под покрытие Тип 2"</t>
        </is>
      </c>
      <c r="J16"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6" s="29" t="inlineStr">
        <is>
          <t>Устройство слоя из брусчатки Тип 2</t>
        </is>
      </c>
      <c r="L16" s="53" t="inlineStr">
        <is>
          <t>Исполнительная схема№ ГП/129 "Устройство слоя из ЦПС-а под покрытие Тип 2"</t>
        </is>
      </c>
    </row>
    <row r="17" ht="154" customHeight="1">
      <c r="B17" s="27" t="inlineStr">
        <is>
          <t>№ ГП/130</t>
        </is>
      </c>
      <c r="C17" s="2" t="inlineStr">
        <is>
          <t>"22" июня 2022 г.</t>
        </is>
      </c>
      <c r="D17" s="2" t="inlineStr">
        <is>
          <t>"13" июня 2022 г.</t>
        </is>
      </c>
      <c r="E17" s="2" t="inlineStr">
        <is>
          <t>"22" июня 2022 г.</t>
        </is>
      </c>
      <c r="F17" s="28" t="inlineStr">
        <is>
          <t>Устройство слоя из брусчатки Тип 2</t>
        </is>
      </c>
      <c r="G17" s="29" t="inlineStr">
        <is>
          <t>Шифр 50-19-02-14-ПЗУ. ООО "СТРОЙ ПРЕСТИЖ"</t>
        </is>
      </c>
      <c r="H17" s="29"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№5018/Б от 10.06.2022., №5244/Б от 15.06.2022., №5675/Б от 22.06.2022., №5674/Б от 22.06.2022., №5657/Б от 22.06.2022., №5656/Б от 22.06.2022.; Смесь сухая цементно-песчаная, паспорт качества №55 от 29.04.2022 г., сертификат соответствия №РОСС RU.32001.04ИБФ1.ОСП18.17941 срок действия с 21.03.2022 по 20.03.2025 г.</t>
        </is>
      </c>
      <c r="I17" s="29" t="inlineStr">
        <is>
          <t>Исполнительная схема№ ГП/130 "Устройство слоя из брусчатки Тип 2"</t>
        </is>
      </c>
      <c r="J17"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7" s="29" t="inlineStr">
        <is>
          <t>Устройство слоя из асфальтобетона крупнозернистого под покрытие Тип 2</t>
        </is>
      </c>
      <c r="L17" s="53" t="inlineStr">
        <is>
          <t>Исполнительная схема№ ГП/130 "Устройство слоя из брусчатки Тип 2"</t>
        </is>
      </c>
    </row>
    <row r="18" ht="75" customHeight="1">
      <c r="B18" s="27" t="inlineStr">
        <is>
          <t>№ ГП/133</t>
        </is>
      </c>
      <c r="C18" s="2" t="inlineStr">
        <is>
          <t>"03" июня 2022 г.</t>
        </is>
      </c>
      <c r="D18" s="2" t="inlineStr">
        <is>
          <t>"01" июня 2022 г.</t>
        </is>
      </c>
      <c r="E18" s="2" t="inlineStr">
        <is>
          <t>"03" июня 2022 г.</t>
        </is>
      </c>
      <c r="F18" s="28" t="inlineStr">
        <is>
          <t>Уплотнение грунта под покрытие Тип 3</t>
        </is>
      </c>
      <c r="G18" s="29" t="inlineStr">
        <is>
          <t>Шифр 50-19-02-14-ПЗУ. ООО "СТРОЙ ПРЕСТИЖ"</t>
        </is>
      </c>
      <c r="H18" s="29" t="inlineStr">
        <is>
          <t xml:space="preserve">Полотно нетканое геотекстильное (Дорнит) марки ГИДРОСПАН 400/4,20, паспорт качества №108 от 10.05.2022 г., </t>
        </is>
      </c>
      <c r="I18" s="29" t="inlineStr">
        <is>
          <t>Исполнительная схема№ ГП/133 "Уплотнение грунта под покрытие Тип 3"</t>
        </is>
      </c>
      <c r="J18"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8" s="29" t="inlineStr">
        <is>
          <t>Устройство геотекстиля под покрытие Тип 3</t>
        </is>
      </c>
      <c r="L18" s="53" t="inlineStr">
        <is>
          <t>Исполнительная схема№ ГП/133 "Уплотнение грунта под покрытие Тип 3"</t>
        </is>
      </c>
    </row>
    <row r="19" ht="75" customHeight="1">
      <c r="B19" s="27" t="inlineStr">
        <is>
          <t>№ ГП/134</t>
        </is>
      </c>
      <c r="C19" s="2" t="inlineStr">
        <is>
          <t>"06" июня 2022 г.</t>
        </is>
      </c>
      <c r="D19" s="2" t="inlineStr">
        <is>
          <t>"03" июня 2022 г.</t>
        </is>
      </c>
      <c r="E19" s="2" t="inlineStr">
        <is>
          <t>"06" июня 2022 г.</t>
        </is>
      </c>
      <c r="F19" s="28" t="inlineStr">
        <is>
          <t>Устройство слоя геотекстиля под покрытие Тип 3</t>
        </is>
      </c>
      <c r="G19" s="29" t="inlineStr">
        <is>
          <t>Шифр 50-19-02-14-ПЗУ. ООО "СТРОЙ ПРЕСТИЖ"</t>
        </is>
      </c>
      <c r="H19" s="29" t="inlineStr">
        <is>
          <t xml:space="preserve">Полотно нетканое геотекстильное (Дорнит) марки ГИДРОСПАН 400/4,20, паспорт качества №108 от 10.05.2022 г., </t>
        </is>
      </c>
      <c r="I19" s="29" t="inlineStr">
        <is>
          <t>Исполнительная схема№ ГП/134 "Устройство слоя геотекстиля под покрытие Тип 3"</t>
        </is>
      </c>
      <c r="J19"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19" s="29" t="inlineStr">
        <is>
          <t>Устройство слоя песка под покрытие Тип 3</t>
        </is>
      </c>
      <c r="L19" s="53" t="inlineStr">
        <is>
          <t>Исполнительная схема№ ГП/134 "Устройство слоя геотекстиля под покрытие Тип 3"</t>
        </is>
      </c>
    </row>
    <row r="20" ht="75" customHeight="1">
      <c r="B20" s="27" t="inlineStr">
        <is>
          <t>№ ГП/135</t>
        </is>
      </c>
      <c r="C20" s="2" t="inlineStr">
        <is>
          <t>"07" июня 2022 г.</t>
        </is>
      </c>
      <c r="D20" s="2" t="inlineStr">
        <is>
          <t>"06" июня 2022 г.</t>
        </is>
      </c>
      <c r="E20" s="2" t="inlineStr">
        <is>
          <t>"07" июня 2022 г.</t>
        </is>
      </c>
      <c r="F20" s="28" t="inlineStr">
        <is>
          <t>Устройство слоя песка под покрытие Тип 3</t>
        </is>
      </c>
      <c r="G20" s="29" t="inlineStr">
        <is>
          <t>Шифр 50-19-02-14-ПЗУ. ООО "СТРОЙ ПРЕСТИЖ"</t>
        </is>
      </c>
      <c r="H20" s="31" t="inlineStr">
        <is>
          <t>Песок природный для строительных работ, паспорт №1/21 от 16.04.2022 г., сертификат соответствия №РОСС RU.НВ61.Н02148 срок действия с 10.03.2020 по 09.03.2023 г.</t>
        </is>
      </c>
      <c r="I20" s="29" t="inlineStr">
        <is>
          <t>Исполнительная схема№ ГП/135 "Устройство слоя песка под покрытие Тип 3"</t>
        </is>
      </c>
      <c r="J20"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0" s="29" t="inlineStr">
        <is>
          <t>Устройство из геотекстиля под покрытие Тип 3</t>
        </is>
      </c>
      <c r="L20" s="53" t="inlineStr">
        <is>
          <t>Исполнительная схема№ ГП/135 "Устройство слоя песка под покрытие Тип 3"</t>
        </is>
      </c>
    </row>
    <row r="21" ht="75" customHeight="1">
      <c r="B21" s="27" t="inlineStr">
        <is>
          <t>№ ГП/136</t>
        </is>
      </c>
      <c r="C21" s="2" t="inlineStr">
        <is>
          <t>"08" июня 2022 г.</t>
        </is>
      </c>
      <c r="D21" s="2" t="inlineStr">
        <is>
          <t>"07" июня 2022 г.</t>
        </is>
      </c>
      <c r="E21" s="2" t="inlineStr">
        <is>
          <t>"08" июня 2022 г.</t>
        </is>
      </c>
      <c r="F21" s="28" t="inlineStr">
        <is>
          <t>Устройство слоя из геотекстиля под покрытие Тип 3</t>
        </is>
      </c>
      <c r="G21" s="29" t="inlineStr">
        <is>
          <t>Шифр 50-19-02-14-ПЗУ. ООО "СТРОЙ ПРЕСТИЖ"</t>
        </is>
      </c>
      <c r="H21" s="29" t="inlineStr">
        <is>
          <t xml:space="preserve">Полотно нетканое геотекстильное (Дорнит) марки ГИДРОСПАН 400/4,20, паспорт качества №108 от 10.05.2022 г., </t>
        </is>
      </c>
      <c r="I21" s="29" t="inlineStr">
        <is>
          <t>Исполнительная схема№ ГП/136 "Устройство слоя из геотекстиля под покрытие Тип 3"</t>
        </is>
      </c>
      <c r="J21"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1" s="29" t="inlineStr">
        <is>
          <t>Устройство слоя из щебня 20-40 под покрытие Тип 3</t>
        </is>
      </c>
      <c r="L21" s="53" t="inlineStr">
        <is>
          <t>Исполнительная схема№ ГП/136 "Устройство слоя из геотекстиля под покрытие Тип 3"</t>
        </is>
      </c>
    </row>
    <row r="22" ht="75" customHeight="1">
      <c r="B22" s="27" t="inlineStr">
        <is>
          <t>№ ГП/137</t>
        </is>
      </c>
      <c r="C22" s="2" t="inlineStr">
        <is>
          <t>"10" июня 2022 г.</t>
        </is>
      </c>
      <c r="D22" s="2" t="inlineStr">
        <is>
          <t>"08" июня 2022 г.</t>
        </is>
      </c>
      <c r="E22" s="2" t="inlineStr">
        <is>
          <t>"10" июня 2022 г.</t>
        </is>
      </c>
      <c r="F22" s="28" t="inlineStr">
        <is>
          <t>Устройство слоя из щебня 20-40 под покрытие Тип 3</t>
        </is>
      </c>
      <c r="G22" s="29" t="inlineStr">
        <is>
          <t>Шифр 50-19-02-14-ПЗУ. ООО "СТРОЙ ПРЕСТИЖ"</t>
        </is>
      </c>
      <c r="H22" s="25" t="inlineStr">
        <is>
          <t>Щебень известняковый фракции 20-40, паспорт качества №б/н от 27.02.2022 г., Сертификат соответствия №РОСС.RU.АГ25.Н12101 срок действия с 17.12.2021 по 16.12.2024 г.</t>
        </is>
      </c>
      <c r="I22" s="29" t="inlineStr">
        <is>
          <t>Исполнительная схема№ ГП/137 "Устройство слоя из щебня 20-40 под покрытие Тип 3"</t>
        </is>
      </c>
      <c r="J22"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2" s="29" t="inlineStr">
        <is>
          <t>Устройство слоя из ЦПС-а под покрытие Тип 3</t>
        </is>
      </c>
      <c r="L22" s="53" t="inlineStr">
        <is>
          <t>Исполнительная схема№ ГП/137 "Устройство слоя из щебня 20-40 под покрытие Тип 3"</t>
        </is>
      </c>
    </row>
    <row r="23" ht="75" customHeight="1">
      <c r="B23" s="27" t="inlineStr">
        <is>
          <t>№ ГП/138</t>
        </is>
      </c>
      <c r="C23" s="2" t="inlineStr">
        <is>
          <t>"13" июня 2022 г.</t>
        </is>
      </c>
      <c r="D23" s="2" t="inlineStr">
        <is>
          <t>"10" июня 2022 г.</t>
        </is>
      </c>
      <c r="E23" s="2" t="inlineStr">
        <is>
          <t>"13" июня 2022 г.</t>
        </is>
      </c>
      <c r="F23" s="28" t="inlineStr">
        <is>
          <t>Устройство слоя из ЦПС-а под покрытие Тип 3</t>
        </is>
      </c>
      <c r="G23" s="29" t="inlineStr">
        <is>
          <t>Шифр 50-19-02-14-ПЗУ. ООО "СТРОЙ ПРЕСТИЖ"</t>
        </is>
      </c>
      <c r="H23" s="29" t="inlineStr">
        <is>
          <t>Смесь сухая цементно-песчаная, паспорт качества №55 от 29.04.2022 г., сертификат соответствия №РОСС RU.32001.04ИБФ1.ОСП18.17941 срок действия с 21.03.2022 по 20.03.2025 г.</t>
        </is>
      </c>
      <c r="I23" s="29" t="inlineStr">
        <is>
          <t>Исполнительная схема№ ГП/138 "Устройство слоя из ЦПС-а под покрытие Тип 3"</t>
        </is>
      </c>
      <c r="J23"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3" s="29" t="inlineStr">
        <is>
          <t>Устройство слоя из песка с цементом  Тип 3</t>
        </is>
      </c>
      <c r="L23" s="53" t="inlineStr">
        <is>
          <t>Исполнительная схема№ ГП/138 "Устройство слоя из ЦПС-а под покрытие Тип 3"</t>
        </is>
      </c>
    </row>
    <row r="24" ht="75" customHeight="1">
      <c r="B24" s="27" t="inlineStr">
        <is>
          <t>№ ГП/139</t>
        </is>
      </c>
      <c r="C24" s="2" t="inlineStr">
        <is>
          <t>"16" июня 2022 г.</t>
        </is>
      </c>
      <c r="D24" s="2" t="inlineStr">
        <is>
          <t>"13" июня 2022 г.</t>
        </is>
      </c>
      <c r="E24" s="2" t="inlineStr">
        <is>
          <t>"16" июня 2022 г.</t>
        </is>
      </c>
      <c r="F24" s="28" t="inlineStr">
        <is>
          <t>Устройство слоя из песка с цементом  Тип 3</t>
        </is>
      </c>
      <c r="G24" s="29" t="inlineStr">
        <is>
          <t>Шифр 50-19-02-14-ПЗУ. ООО "СТРОЙ ПРЕСТИЖ"</t>
        </is>
      </c>
      <c r="H24" s="29" t="inlineStr">
        <is>
          <t>Смесь сухая цементно-песчаная, паспорт качества №55 от 29.04.2022 г., сертификат соответствия №РОСС RU.32001.04ИБФ1.ОСП18.17941 срок действия с 21.03.2022 по 20.03.2025 г.</t>
        </is>
      </c>
      <c r="I24" s="29" t="inlineStr">
        <is>
          <t>Исполнительная схема№ ГП/139 "Устройство слоя из песка с цементом  Тип 3"</t>
        </is>
      </c>
      <c r="J24"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4" s="29" t="inlineStr">
        <is>
          <t>Устройство слоя из брусчатки Тип 3</t>
        </is>
      </c>
      <c r="L24" s="53" t="inlineStr">
        <is>
          <t>Исполнительная схема№ ГП/139 "Устройство слоя из песка с цементом  Тип 3"</t>
        </is>
      </c>
    </row>
    <row r="25" ht="112" customHeight="1">
      <c r="B25" s="27" t="inlineStr">
        <is>
          <t>№ ГП/140</t>
        </is>
      </c>
      <c r="C25" s="2" t="inlineStr">
        <is>
          <t>"20" июня 2022 г.</t>
        </is>
      </c>
      <c r="D25" s="2" t="inlineStr">
        <is>
          <t>"17" июня 2022 г.</t>
        </is>
      </c>
      <c r="E25" s="2" t="inlineStr">
        <is>
          <t>"20" июня 2022 г.</t>
        </is>
      </c>
      <c r="F25" s="28" t="inlineStr">
        <is>
          <t>Устройство слоя из брусчатки Тип 3</t>
        </is>
      </c>
      <c r="G25" s="29" t="inlineStr">
        <is>
          <t>Шифр 50-19-02-14-ПЗУ. ООО "СТРОЙ ПРЕСТИЖ"</t>
        </is>
      </c>
      <c r="H25" s="29"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Смесь сухая цементно-песчаная, паспорт качества №55 от 29.04.2022 г., сертификат соответствия №РОСС RU.32001.04ИБФ1.ОСП18.17941 срок действия с 21.03.2022 по 20.03.2025 г.</t>
        </is>
      </c>
      <c r="I25" s="29" t="inlineStr">
        <is>
          <t>Исполнительная схема№ ГП/140 "Устройство слоя из брусчатки Тип 3"</t>
        </is>
      </c>
      <c r="J25"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5" s="29" t="inlineStr">
        <is>
          <t>-</t>
        </is>
      </c>
      <c r="L25" s="53" t="inlineStr">
        <is>
          <t>Исполнительная схема№ ГП/140 "Устройство слоя из брусчатки Тип 3"</t>
        </is>
      </c>
    </row>
    <row r="26" ht="75" customHeight="1">
      <c r="B26" s="27" t="inlineStr">
        <is>
          <t>№ ГП/141</t>
        </is>
      </c>
      <c r="C26" s="2" t="inlineStr">
        <is>
          <t>"03" июня 2022 г.</t>
        </is>
      </c>
      <c r="D26" s="2" t="inlineStr">
        <is>
          <t>"01" июня 2022 г.</t>
        </is>
      </c>
      <c r="E26" s="2" t="inlineStr">
        <is>
          <t>"03" июня 2022 г.</t>
        </is>
      </c>
      <c r="F26" s="28" t="inlineStr">
        <is>
          <t>Уплотнение грунта под покрытие Тип 4</t>
        </is>
      </c>
      <c r="G26" s="29" t="inlineStr">
        <is>
          <t>Шифр 50-19-02-14-ПЗУ. ООО "СТРОЙ ПРЕСТИЖ"</t>
        </is>
      </c>
      <c r="H26" s="29" t="inlineStr">
        <is>
          <t xml:space="preserve">Полотно нетканое геотекстильное (Дорнит) марки ГИДРОСПАН 400/4,20, паспорт качества №108 от 10.05.2022 г., </t>
        </is>
      </c>
      <c r="I26" s="29" t="inlineStr">
        <is>
          <t>Исполнительная схема№ ГП/141 "Уплотнение грунта под покрытие Тип 4"</t>
        </is>
      </c>
      <c r="J26"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6" s="29" t="inlineStr">
        <is>
          <t>Устройство геотекстиля под покрытие Тип 4</t>
        </is>
      </c>
      <c r="L26" s="53" t="inlineStr">
        <is>
          <t>Исполнительная схема№ ГП/141 "Уплотнение грунта под покрытие Тип 4"</t>
        </is>
      </c>
    </row>
    <row r="27" ht="75" customHeight="1">
      <c r="B27" s="27" t="inlineStr">
        <is>
          <t>№ ГП/142</t>
        </is>
      </c>
      <c r="C27" s="2" t="inlineStr">
        <is>
          <t>"06" июня 2022 г.</t>
        </is>
      </c>
      <c r="D27" s="2" t="inlineStr">
        <is>
          <t>"03" июня 2022 г.</t>
        </is>
      </c>
      <c r="E27" s="2" t="inlineStr">
        <is>
          <t>"06" июня 2022 г.</t>
        </is>
      </c>
      <c r="F27" s="28" t="inlineStr">
        <is>
          <t>Устройство слоя геотекстиля под покрытие Тип 4</t>
        </is>
      </c>
      <c r="G27" s="29" t="inlineStr">
        <is>
          <t>Шифр 50-19-02-14-ПЗУ. ООО "СТРОЙ ПРЕСТИЖ"</t>
        </is>
      </c>
      <c r="H27" s="29" t="inlineStr">
        <is>
          <t xml:space="preserve">Полотно нетканое геотекстильное (Дорнит) марки ГИДРОСПАН 400/4,20, паспорт качества №108 от 10.05.2022 г., </t>
        </is>
      </c>
      <c r="I27" s="29" t="inlineStr">
        <is>
          <t>Исполнительная схема№ ГП/142 "Устройство слоя геотекстиля под покрытие Тип 4"</t>
        </is>
      </c>
      <c r="J27"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7" s="29" t="inlineStr">
        <is>
          <t>Устройство слоя песка под покрытие Тип 4</t>
        </is>
      </c>
      <c r="L27" s="53" t="inlineStr">
        <is>
          <t>Исполнительная схема№ ГП/142 "Устройство слоя геотекстиля под покрытие Тип 4"</t>
        </is>
      </c>
    </row>
    <row r="28" ht="75" customHeight="1">
      <c r="B28" s="27" t="inlineStr">
        <is>
          <t>№ ГП/143</t>
        </is>
      </c>
      <c r="C28" s="2" t="inlineStr">
        <is>
          <t>"07" июня 2022 г.</t>
        </is>
      </c>
      <c r="D28" s="2" t="inlineStr">
        <is>
          <t>"06" июня 2022 г.</t>
        </is>
      </c>
      <c r="E28" s="2" t="inlineStr">
        <is>
          <t>"07" июня 2022 г.</t>
        </is>
      </c>
      <c r="F28" s="28" t="inlineStr">
        <is>
          <t>Устройство слоя песка под покрытие Тип 4</t>
        </is>
      </c>
      <c r="G28" s="29" t="inlineStr">
        <is>
          <t>Шифр 50-19-02-14-ПЗУ. ООО "СТРОЙ ПРЕСТИЖ"</t>
        </is>
      </c>
      <c r="H28" s="31" t="inlineStr">
        <is>
          <t>Песок природный для строительных работ, паспорт №1/21 от 16.04.2022 г., сертификат соответствия №РОСС RU.НВ61.Н02148 срок действия с 10.03.2020 по 09.03.2023 г.</t>
        </is>
      </c>
      <c r="I28" s="29" t="inlineStr">
        <is>
          <t>Исполнительная схема№ ГП/143 "Устройство слоя песка под покрытие Тип 4"</t>
        </is>
      </c>
      <c r="J28"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8" s="29" t="inlineStr">
        <is>
          <t>Устройство из геотекстиля под покрытие Тип 4</t>
        </is>
      </c>
      <c r="L28" s="53" t="inlineStr">
        <is>
          <t>Исполнительная схема№ ГП/143 "Устройство слоя песка под покрытие Тип 4"</t>
        </is>
      </c>
    </row>
    <row r="29" ht="75" customHeight="1">
      <c r="B29" s="27" t="inlineStr">
        <is>
          <t>№ ГП/144</t>
        </is>
      </c>
      <c r="C29" s="2" t="inlineStr">
        <is>
          <t>"08" июня 2022 г.</t>
        </is>
      </c>
      <c r="D29" s="2" t="inlineStr">
        <is>
          <t>"07" июня 2022 г.</t>
        </is>
      </c>
      <c r="E29" s="2" t="inlineStr">
        <is>
          <t>"08" июня 2022 г.</t>
        </is>
      </c>
      <c r="F29" s="28" t="inlineStr">
        <is>
          <t>Устройство слоя из геотекстиля под покрытие Тип 4</t>
        </is>
      </c>
      <c r="G29" s="29" t="inlineStr">
        <is>
          <t>Шифр 50-19-02-14-ПЗУ. ООО "СТРОЙ ПРЕСТИЖ"</t>
        </is>
      </c>
      <c r="H29" s="29" t="inlineStr">
        <is>
          <t xml:space="preserve">Полотно нетканое геотекстильное (Дорнит) марки ГИДРОСПАН 400/4,20, паспорт качества №108 от 10.05.2022 г., </t>
        </is>
      </c>
      <c r="I29" s="29" t="inlineStr">
        <is>
          <t>Исполнительная схема№ ГП/144 "Устройство слоя из геотекстиля под покрытие Тип 4"</t>
        </is>
      </c>
      <c r="J29"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29" s="29" t="inlineStr">
        <is>
          <t>Устройство слоя из щебня 20-40 под покрытие Тип 4</t>
        </is>
      </c>
      <c r="L29" s="53" t="inlineStr">
        <is>
          <t>Исполнительная схема№ ГП/144 "Устройство слоя из геотекстиля под покрытие Тип 4"</t>
        </is>
      </c>
    </row>
    <row r="30" ht="75" customHeight="1">
      <c r="B30" s="27" t="inlineStr">
        <is>
          <t>№ ГП/145</t>
        </is>
      </c>
      <c r="C30" s="2" t="inlineStr">
        <is>
          <t>"10" июня 2022 г.</t>
        </is>
      </c>
      <c r="D30" s="2" t="inlineStr">
        <is>
          <t>"08" июня 2022 г.</t>
        </is>
      </c>
      <c r="E30" s="2" t="inlineStr">
        <is>
          <t>"10" июня 2022 г.</t>
        </is>
      </c>
      <c r="F30" s="28" t="inlineStr">
        <is>
          <t>Устройство слоя из щебня 20-40 под покрытие Тип 4</t>
        </is>
      </c>
      <c r="G30" s="29" t="inlineStr">
        <is>
          <t>Шифр 50-19-02-14-ПЗУ. ООО "СТРОЙ ПРЕСТИЖ"</t>
        </is>
      </c>
      <c r="H30" s="25" t="inlineStr">
        <is>
          <t>Щебень известняковый фракции 20-40, паспорт качества №б/н от 27.02.2022 г., Сертификат соответствия №РОСС.RU.АГ25.Н12101 срок действия с 17.12.2021 по 16.12.2024 г.</t>
        </is>
      </c>
      <c r="I30" s="29" t="inlineStr">
        <is>
          <t>Исполнительная схема№ ГП/145 "Устройство слоя из щебня 20-40 под покрытие Тип 4"</t>
        </is>
      </c>
      <c r="J30"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0" s="29" t="inlineStr">
        <is>
          <t>Устройство слоя из ЦПС-а под покрытие Тип 4</t>
        </is>
      </c>
      <c r="L30" s="53" t="inlineStr">
        <is>
          <t>Исполнительная схема№ ГП/145 "Устройство слоя из щебня 20-40 под покрытие Тип 4"</t>
        </is>
      </c>
    </row>
    <row r="31" ht="75" customHeight="1">
      <c r="B31" s="27" t="inlineStr">
        <is>
          <t>№ ГП/146</t>
        </is>
      </c>
      <c r="C31" s="2" t="inlineStr">
        <is>
          <t>"13" июня 2022 г.</t>
        </is>
      </c>
      <c r="D31" s="2" t="inlineStr">
        <is>
          <t>"10" июня 2022 г.</t>
        </is>
      </c>
      <c r="E31" s="2" t="inlineStr">
        <is>
          <t>"13" июня 2022 г.</t>
        </is>
      </c>
      <c r="F31" s="28" t="inlineStr">
        <is>
          <t>Устройство слоя из ЦПС-а под покрытие Тип 4</t>
        </is>
      </c>
      <c r="G31" s="29" t="inlineStr">
        <is>
          <t>Шифр 50-19-02-14-ПЗУ. ООО "СТРОЙ ПРЕСТИЖ"</t>
        </is>
      </c>
      <c r="H31" s="29" t="inlineStr">
        <is>
          <t>Смесь сухая цементно-песчаная, паспорт качества №55 от 29.04.2022 г., сертификат соответствия №РОСС RU.32001.04ИБФ1.ОСП18.17941 срок действия с 21.03.2022 по 20.03.2025 г.</t>
        </is>
      </c>
      <c r="I31" s="29" t="inlineStr">
        <is>
          <t>Исполнительная схема№ ГП/146 "Устройство слоя из ЦПС-а под покрытие Тип 4"</t>
        </is>
      </c>
      <c r="J31"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1" s="29" t="inlineStr">
        <is>
          <t>Устройство слоя из песка с цементом  Тип 4</t>
        </is>
      </c>
      <c r="L31" s="53" t="inlineStr">
        <is>
          <t>Исполнительная схема№ ГП/146 "Устройство слоя из ЦПС-а под покрытие Тип 4"</t>
        </is>
      </c>
    </row>
    <row r="32" ht="75" customHeight="1">
      <c r="B32" s="27" t="inlineStr">
        <is>
          <t>№ ГП/147</t>
        </is>
      </c>
      <c r="C32" s="2" t="inlineStr">
        <is>
          <t>"16" июня 2022 г.</t>
        </is>
      </c>
      <c r="D32" s="2" t="inlineStr">
        <is>
          <t>"13" июня 2022 г.</t>
        </is>
      </c>
      <c r="E32" s="2" t="inlineStr">
        <is>
          <t>"16" июня 2022 г.</t>
        </is>
      </c>
      <c r="F32" s="28" t="inlineStr">
        <is>
          <t>Устройство слоя из песка с цементом  Тип 4</t>
        </is>
      </c>
      <c r="G32" s="29" t="inlineStr">
        <is>
          <t>Шифр 50-19-02-14-ПЗУ. ООО "СТРОЙ ПРЕСТИЖ"</t>
        </is>
      </c>
      <c r="H32" s="29" t="inlineStr">
        <is>
          <t>Смесь сухая цементно-песчаная, паспорт качества №55 от 29.04.2022 г., сертификат соответствия №РОСС RU.32001.04ИБФ1.ОСП18.17941 срок действия с 21.03.2022 по 20.03.2025 г.</t>
        </is>
      </c>
      <c r="I32" s="29" t="inlineStr">
        <is>
          <t>Исполнительная схема№ ГП/147 "Устройство слоя из песка с цементом  Тип 4"</t>
        </is>
      </c>
      <c r="J32"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2" s="29" t="inlineStr">
        <is>
          <t>Устройство слоя из брусчатки Тип 4</t>
        </is>
      </c>
      <c r="L32" s="53" t="inlineStr">
        <is>
          <t>Исполнительная схема№ ГП/147 "Устройство слоя из песка с цементом  Тип 4"</t>
        </is>
      </c>
    </row>
    <row r="33" ht="112" customHeight="1">
      <c r="B33" s="27" t="inlineStr">
        <is>
          <t>№ ГП/148</t>
        </is>
      </c>
      <c r="C33" s="2" t="inlineStr">
        <is>
          <t>"20" июня 2022 г.</t>
        </is>
      </c>
      <c r="D33" s="2" t="inlineStr">
        <is>
          <t>"17" июня 2022 г.</t>
        </is>
      </c>
      <c r="E33" s="2" t="inlineStr">
        <is>
          <t>"20" июня 2022 г.</t>
        </is>
      </c>
      <c r="F33" s="28" t="inlineStr">
        <is>
          <t>Устройство слоя из брусчатки Тип 4</t>
        </is>
      </c>
      <c r="G33" s="29" t="inlineStr">
        <is>
          <t>Шифр 50-19-02-14-ПЗУ. ООО "СТРОЙ ПРЕСТИЖ"</t>
        </is>
      </c>
      <c r="H33" s="29"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Смесь сухая цементно-песчаная, паспорт качества №55 от 29.04.2022 г., сертификат соответствия №РОСС RU.32001.04ИБФ1.ОСП18.17941 срок действия с 21.03.2022 по 20.03.2025 г.</t>
        </is>
      </c>
      <c r="I33" s="29" t="inlineStr">
        <is>
          <t>Исполнительная схема№ ГП/148 "Устройство слоя из брусчатки Тип 4"</t>
        </is>
      </c>
      <c r="J33"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3" s="29" t="inlineStr">
        <is>
          <t>-</t>
        </is>
      </c>
      <c r="L33" s="53" t="inlineStr">
        <is>
          <t>Исполнительная схема№ ГП/148 "Устройство слоя из брусчатки Тип 4"</t>
        </is>
      </c>
    </row>
    <row r="34" ht="75" customHeight="1">
      <c r="B34" s="27" t="inlineStr">
        <is>
          <t>№ ГП/149</t>
        </is>
      </c>
      <c r="C34" s="2" t="inlineStr">
        <is>
          <t>"03" мая 2022 г.</t>
        </is>
      </c>
      <c r="D34" s="2" t="inlineStr">
        <is>
          <t>"01" мая 2022 г.</t>
        </is>
      </c>
      <c r="E34" s="2" t="inlineStr">
        <is>
          <t>"03" мая 2022 г.</t>
        </is>
      </c>
      <c r="F34" s="28" t="inlineStr">
        <is>
          <t>Уплотнение слоя грунта под покрытие Тип 5</t>
        </is>
      </c>
      <c r="G34" s="29" t="inlineStr">
        <is>
          <t>Шифр 50-19-02-14-ПЗУ. ООО "СТРОЙ ПРЕСТИЖ"</t>
        </is>
      </c>
      <c r="H34" s="29" t="inlineStr">
        <is>
          <t xml:space="preserve">Полотно нетканое геотекстильное (Дорнит) марки ГИДРОСПАН 400/4,20, паспорт качества №108 от 10.05.2022 г., </t>
        </is>
      </c>
      <c r="I34" s="29" t="inlineStr">
        <is>
          <t>Исполнительная схема№ ГП/149 "Уплотнение грунта под покрытие Тип 5"</t>
        </is>
      </c>
      <c r="J34"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4" s="29" t="inlineStr">
        <is>
          <t>Устройство геотекстиля под покрытие Тип 5</t>
        </is>
      </c>
      <c r="L34" s="53" t="inlineStr">
        <is>
          <t>Исполнительная схема№ ГП/149 "Уплотнение грунта под покрытие Тип 5"</t>
        </is>
      </c>
    </row>
    <row r="35" ht="75" customHeight="1">
      <c r="B35" s="27" t="inlineStr">
        <is>
          <t>№ ГП/150</t>
        </is>
      </c>
      <c r="C35" s="2" t="inlineStr">
        <is>
          <t>"10" мая 2022 г.</t>
        </is>
      </c>
      <c r="D35" s="2" t="inlineStr">
        <is>
          <t>"10" мая 2022 г.</t>
        </is>
      </c>
      <c r="E35" s="2" t="inlineStr">
        <is>
          <t>"10" мая 2022 г.</t>
        </is>
      </c>
      <c r="F35" s="28" t="inlineStr">
        <is>
          <t>Устройство слоя геотекстиля под покрытие Тип 5</t>
        </is>
      </c>
      <c r="G35" s="29" t="inlineStr">
        <is>
          <t>Шифр 50-19-02-14-ПЗУ. ООО "СТРОЙ ПРЕСТИЖ"</t>
        </is>
      </c>
      <c r="H35" s="29" t="inlineStr">
        <is>
          <t xml:space="preserve">Полотно нетканое геотекстильное (Дорнит) марки ГИДРОСПАН 400/4,20, паспорт качества №108 от 10.05.2022 г., </t>
        </is>
      </c>
      <c r="I35" s="29" t="inlineStr">
        <is>
          <t>Исполнительная схема№ ГП/150 "Устройство слоя геотекстиля под покрытие Тип 5"</t>
        </is>
      </c>
      <c r="J35"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5" s="29" t="inlineStr">
        <is>
          <t>Устройство слоя песка под покрытие Тип 5</t>
        </is>
      </c>
      <c r="L35" s="53" t="inlineStr">
        <is>
          <t>Исполнительная схема№ ГП/150 "Устройство слоя геотекстиля под покрытие Тип 5"</t>
        </is>
      </c>
    </row>
    <row r="36" ht="75" customHeight="1">
      <c r="B36" s="27" t="inlineStr">
        <is>
          <t>№ ГП/151</t>
        </is>
      </c>
      <c r="C36" s="2" t="inlineStr">
        <is>
          <t>"11" мая 2022 г.</t>
        </is>
      </c>
      <c r="D36" s="2" t="inlineStr">
        <is>
          <t>"10" мая 2022 г.</t>
        </is>
      </c>
      <c r="E36" s="2" t="inlineStr">
        <is>
          <t>"11" мая 2022 г.</t>
        </is>
      </c>
      <c r="F36" s="28" t="inlineStr">
        <is>
          <t>Устройство слоя песка под покрытие Тип 5</t>
        </is>
      </c>
      <c r="G36" s="29" t="inlineStr">
        <is>
          <t>Шифр 50-19-02-14-ПЗУ. ООО "СТРОЙ ПРЕСТИЖ"</t>
        </is>
      </c>
      <c r="H36" s="31" t="inlineStr">
        <is>
          <t>Песок природный для строительных работ, паспорт №1/21 от 16.04.2022 г., сертификат соответствия №РОСС RU.НВ61.Н02148 срок действия с 10.03.2020 по 09.03.2023 г.</t>
        </is>
      </c>
      <c r="I36" s="29" t="inlineStr">
        <is>
          <t>Исполнительная схема№ ГП/151 "Устройство слоя песка под покрытие Тип 5"</t>
        </is>
      </c>
      <c r="J36"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6" s="29" t="inlineStr">
        <is>
          <t>Устройство из бетона под покрытие Тип 5</t>
        </is>
      </c>
      <c r="L36" s="53" t="inlineStr">
        <is>
          <t>Исполнительная схема№ ГП/151 "Устройство слоя песка под покрытие Тип 5"</t>
        </is>
      </c>
    </row>
    <row r="37" ht="75" customHeight="1">
      <c r="B37" s="27" t="inlineStr">
        <is>
          <t>№ ГП/152</t>
        </is>
      </c>
      <c r="C37" s="2" t="inlineStr">
        <is>
          <t>"28" мая 2022 г.</t>
        </is>
      </c>
      <c r="D37" s="2" t="inlineStr">
        <is>
          <t>"27" мая 2022 г.</t>
        </is>
      </c>
      <c r="E37" s="2" t="inlineStr">
        <is>
          <t>"28" мая 2022 г.</t>
        </is>
      </c>
      <c r="F37" s="28" t="inlineStr">
        <is>
          <t>Устройство слоя из бетона под покрытие Тип 5</t>
        </is>
      </c>
      <c r="G37" s="29" t="inlineStr">
        <is>
          <t>Шифр 50-19-02-14-ПЗУ. ООО "СТРОЙ ПРЕСТИЖ"</t>
        </is>
      </c>
      <c r="H37" s="29" t="inlineStr">
        <is>
          <t>Смесь бетонная БСТ В15 П4 F150 W4,  Документ о качестве бетонной смеси №5798, №5813, №5827, №5829, №5852, №5858, №5861 от 27.05.2022 г., №5868, №5871, №5875, №5878, №5880, №5881, №5885 от 28.05.2022 г.</t>
        </is>
      </c>
      <c r="I37" s="29" t="inlineStr">
        <is>
          <t>Исполнительная схема№ ГП/152 "Устройство из бетона под покрытие Тип 5"</t>
        </is>
      </c>
      <c r="J37"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7" s="29" t="inlineStr">
        <is>
          <t>Устройство слоя из ЦПС под покрытие Тип 5</t>
        </is>
      </c>
      <c r="L37" s="53" t="inlineStr">
        <is>
          <t>Исполнительная схема№ ГП/152 "Устройство из бетона под покрытие Тип 5"</t>
        </is>
      </c>
    </row>
    <row r="38" ht="75" customHeight="1">
      <c r="B38" s="27" t="inlineStr">
        <is>
          <t>№ ГП/153</t>
        </is>
      </c>
      <c r="C38" s="2" t="inlineStr">
        <is>
          <t>"13" июня 2022 г.</t>
        </is>
      </c>
      <c r="D38" s="2" t="inlineStr">
        <is>
          <t>"10" июня 2022 г.</t>
        </is>
      </c>
      <c r="E38" s="2" t="inlineStr">
        <is>
          <t>"13" июня 2022 г.</t>
        </is>
      </c>
      <c r="F38" s="28" t="inlineStr">
        <is>
          <t>Устройство слоя из ЦПС под покрытие Тип 5</t>
        </is>
      </c>
      <c r="G38" s="29" t="inlineStr">
        <is>
          <t>Шифр 50-19-02-14-ПЗУ. ООО "СТРОЙ ПРЕСТИЖ"</t>
        </is>
      </c>
      <c r="H38" s="29" t="inlineStr">
        <is>
          <t>Смесь сухая цементно-песчаная, паспорт качества №55 от 29.04.2022 г., сертификат соответствия №РОСС RU.32001.04ИБФ1.ОСП18.17941 срок действия с 21.03.2022 по 20.03.2025 г.</t>
        </is>
      </c>
      <c r="I38" s="29" t="inlineStr">
        <is>
          <t>Исполнительная схема№ ГП/153 "Устройство слоя из ЦПС под покрытие Тип 5"</t>
        </is>
      </c>
      <c r="J38"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8" s="29" t="inlineStr">
        <is>
          <t>Устройство слоя из брусчатки под покрытие Тип 5</t>
        </is>
      </c>
      <c r="L38" s="53" t="inlineStr">
        <is>
          <t>Исполнительная схема№ ГП/153 "Устройство слоя из ЦПС под покрытие Тип 5"</t>
        </is>
      </c>
    </row>
    <row r="39" ht="112" customHeight="1">
      <c r="B39" s="27" t="inlineStr">
        <is>
          <t>№ ГП/154</t>
        </is>
      </c>
      <c r="C39" s="2" t="inlineStr">
        <is>
          <t>"16" июня 2022 г.</t>
        </is>
      </c>
      <c r="D39" s="2" t="inlineStr">
        <is>
          <t>"13" июня 2022 г.</t>
        </is>
      </c>
      <c r="E39" s="2" t="inlineStr">
        <is>
          <t>"16" июня 2022 г.</t>
        </is>
      </c>
      <c r="F39" s="28" t="inlineStr">
        <is>
          <t>Устройство слоя из брусчатки под покрытие Тип 5</t>
        </is>
      </c>
      <c r="G39" s="29" t="inlineStr">
        <is>
          <t>Шифр 50-19-02-14-ПЗУ. ООО "СТРОЙ ПРЕСТИЖ"</t>
        </is>
      </c>
      <c r="H39" s="29"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Смесь сухая цементно-песчаная, паспорт качества №55 от 29.04.2022 г., сертификат соответствия №РОСС RU.32001.04ИБФ1.ОСП18.17941 срок действия с 21.03.2022 по 20.03.2025 г.</t>
        </is>
      </c>
      <c r="I39" s="29" t="inlineStr">
        <is>
          <t>Исполнительная схема№ ГП/154 "Устройство слоя из брусчатки под покрытие Тип 5"</t>
        </is>
      </c>
      <c r="J39"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39" s="29" t="inlineStr">
        <is>
          <t>-</t>
        </is>
      </c>
      <c r="L39" s="53" t="inlineStr">
        <is>
          <t>Исполнительная схема№ ГП/154 "Устройство слоя из брусчатки под покрытие Тип 5"</t>
        </is>
      </c>
    </row>
    <row r="40" ht="75" customHeight="1">
      <c r="B40" s="27" t="inlineStr">
        <is>
          <t>№ ГП/155</t>
        </is>
      </c>
      <c r="C40" s="2" t="inlineStr">
        <is>
          <t>"03" июня 2022 г.</t>
        </is>
      </c>
      <c r="D40" s="2" t="inlineStr">
        <is>
          <t>"02" июня 2022 г.</t>
        </is>
      </c>
      <c r="E40" s="2" t="inlineStr">
        <is>
          <t>"03" июня 2022 г.</t>
        </is>
      </c>
      <c r="F40" s="28" t="inlineStr">
        <is>
          <t>Уплотнение грунта под покрытие Тип 6</t>
        </is>
      </c>
      <c r="G40" s="29" t="inlineStr">
        <is>
          <t>Шифр 50-19-02-14-ПЗУ. ООО "СТРОЙ ПРЕСТИЖ"</t>
        </is>
      </c>
      <c r="H40" s="29" t="inlineStr">
        <is>
          <t xml:space="preserve">Полотно нетканое геотекстильное (Дорнит) марки ГИДРОСПАН 400/4,20, паспорт качества №108 от 10.05.2022 г., </t>
        </is>
      </c>
      <c r="I40" s="29" t="inlineStr">
        <is>
          <t>Исполнительная схема№ ГП/155 "Уплотнение грунта под покрытие Тип 6"</t>
        </is>
      </c>
      <c r="J40"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0" s="29" t="inlineStr">
        <is>
          <t>Устройство геотекстиля под покрытие Тип 6</t>
        </is>
      </c>
      <c r="L40" s="53" t="inlineStr">
        <is>
          <t>Исполнительная схема№ ГП/155 "Уплотнение грунта под покрытие Тип 6"</t>
        </is>
      </c>
    </row>
    <row r="41" ht="75" customHeight="1">
      <c r="B41" s="27" t="inlineStr">
        <is>
          <t>№ ГП/156</t>
        </is>
      </c>
      <c r="C41" s="2" t="inlineStr">
        <is>
          <t>"04" июня 2022 г.</t>
        </is>
      </c>
      <c r="D41" s="2" t="inlineStr">
        <is>
          <t>"03" июня 2022 г.</t>
        </is>
      </c>
      <c r="E41" s="2" t="inlineStr">
        <is>
          <t>"04" июня 2022 г.</t>
        </is>
      </c>
      <c r="F41" s="28" t="inlineStr">
        <is>
          <t>Устройство слоя геотекстиля под покрытие Тип 6</t>
        </is>
      </c>
      <c r="G41" s="29" t="inlineStr">
        <is>
          <t>Шифр 50-19-02-14-ПЗУ. ООО "СТРОЙ ПРЕСТИЖ"</t>
        </is>
      </c>
      <c r="H41" s="29" t="inlineStr">
        <is>
          <t xml:space="preserve">Полотно нетканое геотекстильное (Дорнит) марки ГИДРОСПАН 400/4,20, паспорт качества №108 от 10.05.2022 г., </t>
        </is>
      </c>
      <c r="I41" s="29" t="inlineStr">
        <is>
          <t>Исполнительная схема№ ГП/156 "Устройство слоя геотекстиля под покрытие Тип 6"</t>
        </is>
      </c>
      <c r="J41"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1" s="29" t="inlineStr">
        <is>
          <t>Устройство слоя песка под покрытие Тип 6</t>
        </is>
      </c>
      <c r="L41" s="53" t="inlineStr">
        <is>
          <t>Исполнительная схема№ ГП/156 "Устройство слоя геотекстиля под покрытие Тип 6"</t>
        </is>
      </c>
    </row>
    <row r="42" ht="75" customHeight="1">
      <c r="B42" s="27" t="inlineStr">
        <is>
          <t>№ ГП/157</t>
        </is>
      </c>
      <c r="C42" s="2" t="inlineStr">
        <is>
          <t>"06" июня 2022 г.</t>
        </is>
      </c>
      <c r="D42" s="2" t="inlineStr">
        <is>
          <t>"04" июня 2022 г.</t>
        </is>
      </c>
      <c r="E42" s="2" t="inlineStr">
        <is>
          <t>"06" июня 2022 г.</t>
        </is>
      </c>
      <c r="F42" s="28" t="inlineStr">
        <is>
          <t>Устройство слоя песка под покрытие Тип 6</t>
        </is>
      </c>
      <c r="G42" s="29" t="inlineStr">
        <is>
          <t>Шифр 50-19-02-14-ПЗУ. ООО "СТРОЙ ПРЕСТИЖ"</t>
        </is>
      </c>
      <c r="H42" s="31" t="inlineStr">
        <is>
          <t>Песок природный для строительных работ, паспорт №1/21 от 16.04.2022 г., сертификат соответствия №РОСС RU.НВ61.Н02148 срок действия с 10.03.2020 по 09.03.2023 г.</t>
        </is>
      </c>
      <c r="I42" s="29" t="inlineStr">
        <is>
          <t>Исполнительная схема№ ГП/157 "Устройство слоя песка под покрытие Тип 6"</t>
        </is>
      </c>
      <c r="J42"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2" s="29" t="inlineStr">
        <is>
          <t>Устройство из геотекстиля под покрытие Тип 6</t>
        </is>
      </c>
      <c r="L42" s="53" t="inlineStr">
        <is>
          <t>Исполнительная схема№ ГП/157 "Устройство слоя песка под покрытие Тип 6"</t>
        </is>
      </c>
    </row>
    <row r="43" ht="75" customHeight="1">
      <c r="B43" s="27" t="inlineStr">
        <is>
          <t>№ ГП/158</t>
        </is>
      </c>
      <c r="C43" s="2" t="inlineStr">
        <is>
          <t>"08" июня 2022 г.</t>
        </is>
      </c>
      <c r="D43" s="2" t="inlineStr">
        <is>
          <t>"07" июня 2022 г.</t>
        </is>
      </c>
      <c r="E43" s="2" t="inlineStr">
        <is>
          <t>"08" июня 2022 г.</t>
        </is>
      </c>
      <c r="F43" s="28" t="inlineStr">
        <is>
          <t>Устройство слоя из геотекстиля под покрытие Тип 6</t>
        </is>
      </c>
      <c r="G43" s="29" t="inlineStr">
        <is>
          <t>Шифр 50-19-02-14-ПЗУ. ООО "СТРОЙ ПРЕСТИЖ"</t>
        </is>
      </c>
      <c r="H43" s="29" t="inlineStr">
        <is>
          <t xml:space="preserve">Полотно нетканое геотекстильное (Дорнит) марки ГИДРОСПАН 400/4,20, паспорт качества №108 от 10.05.2022 г., </t>
        </is>
      </c>
      <c r="I43" s="29" t="inlineStr">
        <is>
          <t>Исполнительная схема№ ГП/158 "Устройство слоя из геотекстиля под покрытие Тип 6"</t>
        </is>
      </c>
      <c r="J43"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3" s="29" t="inlineStr">
        <is>
          <t>Устройство слоя из щебгя под покрытие Тип 6</t>
        </is>
      </c>
      <c r="L43" s="53" t="inlineStr">
        <is>
          <t>Исполнительная схема№ ГП/158 "Устройство слоя из геотекстиля под покрытие Тип 6"</t>
        </is>
      </c>
    </row>
    <row r="44" ht="75" customHeight="1">
      <c r="B44" s="27" t="inlineStr">
        <is>
          <t>№ ГП/159</t>
        </is>
      </c>
      <c r="C44" s="2" t="inlineStr">
        <is>
          <t>"10" июня 2022 г.</t>
        </is>
      </c>
      <c r="D44" s="2" t="inlineStr">
        <is>
          <t>"09" июня 2022 г.</t>
        </is>
      </c>
      <c r="E44" s="2" t="inlineStr">
        <is>
          <t>"10" июня 2022 г.</t>
        </is>
      </c>
      <c r="F44" s="28" t="inlineStr">
        <is>
          <t>Устройство слоя из щебня под покрытие Тип 6</t>
        </is>
      </c>
      <c r="G44" s="29" t="inlineStr">
        <is>
          <t>Шифр 50-19-02-14-ПЗУ. ООО "СТРОЙ ПРЕСТИЖ"</t>
        </is>
      </c>
      <c r="H44" s="25" t="inlineStr">
        <is>
          <t>Щебень известняковый фракции 20-40, паспорт качества №б/н от 27.02.2022 г., Сертификат соответствия №РОСС.RU.АГ25.Н12101 срок действия с 17.12.2021 по 16.12.2024 г.</t>
        </is>
      </c>
      <c r="I44" s="29" t="inlineStr">
        <is>
          <t>Исполнительная схема№ ГП/159 "Устройство слоя из щебня под покрытие Тип 6"</t>
        </is>
      </c>
      <c r="J44"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4" s="29" t="inlineStr">
        <is>
          <t>Устройство слоя из ЦПС под покрытие Тип 6</t>
        </is>
      </c>
      <c r="L44" s="53" t="inlineStr">
        <is>
          <t>Исполнительная схема№ ГП/159 "Устройство слоя из щебня под покрытие Тип 6"</t>
        </is>
      </c>
    </row>
    <row r="45" ht="75" customHeight="1">
      <c r="B45" s="27" t="inlineStr">
        <is>
          <t>№ ГП/160</t>
        </is>
      </c>
      <c r="C45" s="2" t="inlineStr">
        <is>
          <t>"10" июня 2022 г.</t>
        </is>
      </c>
      <c r="D45" s="2" t="inlineStr">
        <is>
          <t>"10" июня 2022 г.</t>
        </is>
      </c>
      <c r="E45" s="2" t="inlineStr">
        <is>
          <t>"10" июня 2022 г.</t>
        </is>
      </c>
      <c r="F45" s="28" t="inlineStr">
        <is>
          <t>Устройство слоя из ЦПС под покрытие Тип 6</t>
        </is>
      </c>
      <c r="G45" s="29" t="inlineStr">
        <is>
          <t>Шифр 50-19-02-14-ПЗУ. ООО "СТРОЙ ПРЕСТИЖ"</t>
        </is>
      </c>
      <c r="H45" s="29" t="inlineStr">
        <is>
          <t>Смесь сухая цементно-песчаная, паспорт качества №55 от 29.04.2022 г., сертификат соответствия №РОСС RU.32001.04ИБФ1.ОСП18.17941 срок действия с 21.03.2022 по 20.03.2025 г.</t>
        </is>
      </c>
      <c r="I45" s="29" t="inlineStr">
        <is>
          <t>Исполнительная схема№ ГП/160 "Устройство слоя из ЦПС под покрытие Тип 6"</t>
        </is>
      </c>
      <c r="J45"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5" s="29" t="inlineStr">
        <is>
          <t>Устройство слоя из брусчатки Тип 6</t>
        </is>
      </c>
      <c r="L45" s="53" t="inlineStr">
        <is>
          <t>Исполнительная схема№ ГП/160 "Устройство слоя из ЦПС под покрытие Тип 6"</t>
        </is>
      </c>
    </row>
    <row r="46" ht="98" customHeight="1">
      <c r="B46" s="27" t="inlineStr">
        <is>
          <t>№ ГП/161</t>
        </is>
      </c>
      <c r="C46" s="2" t="inlineStr">
        <is>
          <t>"13" июня 2022 г.</t>
        </is>
      </c>
      <c r="D46" s="2" t="inlineStr">
        <is>
          <t>"11" июня 2022 г.</t>
        </is>
      </c>
      <c r="E46" s="2" t="inlineStr">
        <is>
          <t>"13" июня 2022 г.</t>
        </is>
      </c>
      <c r="F46" s="28" t="inlineStr">
        <is>
          <t>Устройство слоя из брусчатки Тип 6</t>
        </is>
      </c>
      <c r="G46" s="29" t="inlineStr">
        <is>
          <t>Шифр 50-19-02-14-ПЗУ. ООО "СТРОЙ ПРЕСТИЖ"</t>
        </is>
      </c>
      <c r="H46" s="29" t="inlineStr">
        <is>
          <t>Плиты бетонные тротуарные 200х100х80, документ о качестве №4839/Б от 08.06.2022., №4800/Б от 07.06.2022., №4799/Б от 07.06.2022., №4769/Б от 07.06.2022., №4697/Б от 06.06.2022.; Смесь сухая цементно-песчаная, паспорт качества №55 от 29.04.2022 г., сертификат соответствия №РОСС RU.32001.04ИБФ1.ОСП18.17941 срок действия с 21.03.2022 по 20.03.2025 г.</t>
        </is>
      </c>
      <c r="I46" s="29" t="inlineStr">
        <is>
          <t>Исполнительная схема№ ГП/161 "Устройство слоя из брусчатки Тип 6" на 2 л.</t>
        </is>
      </c>
      <c r="J46"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6" s="29" t="inlineStr">
        <is>
          <t>-</t>
        </is>
      </c>
      <c r="L46" s="53" t="inlineStr">
        <is>
          <t>Исполнительная схема№ ГП/161 "Устройство слоя из брусчатки Тип 6" на 2 л.</t>
        </is>
      </c>
    </row>
    <row r="47" ht="75" customHeight="1">
      <c r="B47" s="27" t="inlineStr">
        <is>
          <t>№ ГП/162</t>
        </is>
      </c>
      <c r="C47" s="2" t="inlineStr">
        <is>
          <t>"03" июня 2022 г.</t>
        </is>
      </c>
      <c r="D47" s="2" t="inlineStr">
        <is>
          <t>"02" июня 2022 г.</t>
        </is>
      </c>
      <c r="E47" s="2" t="inlineStr">
        <is>
          <t>"03" июня 2022 г.</t>
        </is>
      </c>
      <c r="F47" s="28" t="inlineStr">
        <is>
          <t>Уплотнение грунта под покрытие Тип 7</t>
        </is>
      </c>
      <c r="G47" s="29" t="inlineStr">
        <is>
          <t>Шифр 50-19-02-14-ПЗУ. ООО "СТРОЙ ПРЕСТИЖ"</t>
        </is>
      </c>
      <c r="H47" s="29" t="inlineStr">
        <is>
          <t xml:space="preserve">Полотно нетканое геотекстильное (Дорнит) марки ГИДРОСПАН 400/4,20, паспорт качества №108 от 10.05.2022 г., </t>
        </is>
      </c>
      <c r="I47" s="29" t="inlineStr">
        <is>
          <t>Исполнительная схема№ ГП/162 "Уплотнение грунта под покрытие Тип 7"</t>
        </is>
      </c>
      <c r="J47"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7" s="29" t="inlineStr">
        <is>
          <t>Устройство геотекстиля под покрытие Тип 7</t>
        </is>
      </c>
      <c r="L47" s="53" t="inlineStr">
        <is>
          <t>Исполнительная схема№ ГП/162 "Уплотнение грунта под покрытие Тип 7"</t>
        </is>
      </c>
    </row>
    <row r="48" ht="75" customHeight="1">
      <c r="B48" s="27" t="inlineStr">
        <is>
          <t>№ ГП/163</t>
        </is>
      </c>
      <c r="C48" s="2" t="inlineStr">
        <is>
          <t>"06" июня 2022 г.</t>
        </is>
      </c>
      <c r="D48" s="2" t="inlineStr">
        <is>
          <t>"04" июня 2022 г.</t>
        </is>
      </c>
      <c r="E48" s="2" t="inlineStr">
        <is>
          <t>"06" июня 2022 г.</t>
        </is>
      </c>
      <c r="F48" s="28" t="inlineStr">
        <is>
          <t>Устройство слоя геотекстиля под покрытие Тип 7</t>
        </is>
      </c>
      <c r="G48" s="29" t="inlineStr">
        <is>
          <t>Шифр 50-19-02-14-ПЗУ. ООО "СТРОЙ ПРЕСТИЖ"</t>
        </is>
      </c>
      <c r="H48" s="29" t="inlineStr">
        <is>
          <t xml:space="preserve">Полотно нетканое геотекстильное (Дорнит) марки ГИДРОСПАН 400/4,20, паспорт качества №108 от 10.05.2022 г., </t>
        </is>
      </c>
      <c r="I48" s="29" t="inlineStr">
        <is>
          <t>Исполнительная схема№ ГП/163 "Устройство слоя геотекстиля под покрытие Тип 7"</t>
        </is>
      </c>
      <c r="J48"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8" s="29" t="inlineStr">
        <is>
          <t>Устройство слоя песка под покрытие Тип 7</t>
        </is>
      </c>
      <c r="L48" s="53" t="inlineStr">
        <is>
          <t>Исполнительная схема№ ГП/163 "Устройство слоя геотекстиля под покрытие Тип 7"</t>
        </is>
      </c>
    </row>
    <row r="49" ht="75" customHeight="1">
      <c r="B49" s="27" t="inlineStr">
        <is>
          <t>№ ГП/164</t>
        </is>
      </c>
      <c r="C49" s="2" t="inlineStr">
        <is>
          <t>"08" июня 2022 г.</t>
        </is>
      </c>
      <c r="D49" s="2" t="inlineStr">
        <is>
          <t>"07" июня 2022 г.</t>
        </is>
      </c>
      <c r="E49" s="2" t="inlineStr">
        <is>
          <t>"08" июня 2022 г.</t>
        </is>
      </c>
      <c r="F49" s="28" t="inlineStr">
        <is>
          <t>Устройство слоя песка под покрытие Тип 7</t>
        </is>
      </c>
      <c r="G49" s="29" t="inlineStr">
        <is>
          <t>Шифр 50-19-02-14-ПЗУ. ООО "СТРОЙ ПРЕСТИЖ"</t>
        </is>
      </c>
      <c r="H49" s="31" t="inlineStr">
        <is>
          <t>Песок природный для строительных работ, паспорт №1/21 от 16.04.2022 г., сертификат соответствия №РОСС RU.НВ61.Н02148 срок действия с 10.03.2020 по 09.03.2023 г.</t>
        </is>
      </c>
      <c r="I49" s="29" t="inlineStr">
        <is>
          <t>Исполнительная схема№ ГП/164 "Устройство слоя песка под покрытие Тип 7"</t>
        </is>
      </c>
      <c r="J49"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49" s="29" t="inlineStr">
        <is>
          <t>Устройство из геотекстиля под покрытие Тип 7</t>
        </is>
      </c>
      <c r="L49" s="53" t="inlineStr">
        <is>
          <t>Исполнительная схема№ ГП/164 "Устройство слоя песка под покрытие Тип 7"</t>
        </is>
      </c>
    </row>
    <row r="50" ht="75" customHeight="1">
      <c r="B50" s="27" t="inlineStr">
        <is>
          <t>№ ГП/165</t>
        </is>
      </c>
      <c r="C50" s="2" t="inlineStr">
        <is>
          <t>"10" июня 2022 г.</t>
        </is>
      </c>
      <c r="D50" s="2" t="inlineStr">
        <is>
          <t>"09" июня 2022 г.</t>
        </is>
      </c>
      <c r="E50" s="2" t="inlineStr">
        <is>
          <t>"10" июня 2022 г.</t>
        </is>
      </c>
      <c r="F50" s="28" t="inlineStr">
        <is>
          <t>Устройство слоя из геотекстиля под покрытие Тип 7</t>
        </is>
      </c>
      <c r="G50" s="29" t="inlineStr">
        <is>
          <t>Шифр 50-19-02-14-ПЗУ. ООО "СТРОЙ ПРЕСТИЖ"</t>
        </is>
      </c>
      <c r="H50" s="29" t="inlineStr">
        <is>
          <t xml:space="preserve">Полотно нетканое геотекстильное (Дорнит) марки ГИДРОСПАН 400/4,20, паспорт качества №108 от 10.05.2022 г., </t>
        </is>
      </c>
      <c r="I50" s="29" t="inlineStr">
        <is>
          <t>Исполнительная схема№ ГП/165 "Устройство слоя из геотекстиля под покрытие Тип 7"</t>
        </is>
      </c>
      <c r="J50"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50" s="29" t="inlineStr">
        <is>
          <t>Устройство слоя из щебгя под покрытие Тип 7</t>
        </is>
      </c>
      <c r="L50" s="53" t="inlineStr">
        <is>
          <t>Исполнительная схема№ ГП/165 "Устройство слоя из геотекстиля под покрытие Тип 7"</t>
        </is>
      </c>
    </row>
    <row r="51" ht="75" customHeight="1">
      <c r="B51" s="27" t="inlineStr">
        <is>
          <t>№ ГП/166</t>
        </is>
      </c>
      <c r="C51" s="2" t="inlineStr">
        <is>
          <t>"13" июня 2022 г.</t>
        </is>
      </c>
      <c r="D51" s="2" t="inlineStr">
        <is>
          <t>"11" июня 2022 г.</t>
        </is>
      </c>
      <c r="E51" s="2" t="inlineStr">
        <is>
          <t>"13" июня 2022 г.</t>
        </is>
      </c>
      <c r="F51" s="28" t="inlineStr">
        <is>
          <t>Устройство слоя из щебня под покрытие Тип 7</t>
        </is>
      </c>
      <c r="G51" s="29" t="inlineStr">
        <is>
          <t>Шифр 50-19-02-14-ПЗУ. ООО "СТРОЙ ПРЕСТИЖ"</t>
        </is>
      </c>
      <c r="H51" s="25" t="inlineStr">
        <is>
          <t>Щебень известняковый фракции 20-40, паспорт качества №б/н от 27.02.2022 г., Сертификат соответствия №РОСС.RU.АГ25.Н12101 срок действия с 17.12.2021 по 16.12.2024 г.</t>
        </is>
      </c>
      <c r="I51" s="29" t="inlineStr">
        <is>
          <t>Исполнительная схема№ ГП/166 "Устройство слоя из щебня под покрытие Тип 7"</t>
        </is>
      </c>
      <c r="J51"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51" s="29" t="inlineStr">
        <is>
          <t>Устройство слоя из ЦПС под покрытие Тип 7</t>
        </is>
      </c>
      <c r="L51" s="53" t="inlineStr">
        <is>
          <t>Исполнительная схема№ ГП/166 "Устройство слоя из щебня под покрытие Тип 7"</t>
        </is>
      </c>
    </row>
    <row r="52" ht="75" customHeight="1">
      <c r="B52" s="27" t="inlineStr">
        <is>
          <t>№ ГП/167</t>
        </is>
      </c>
      <c r="C52" s="2" t="inlineStr">
        <is>
          <t>"13" июня 2022 г.</t>
        </is>
      </c>
      <c r="D52" s="2" t="inlineStr">
        <is>
          <t>"11" июня 2022 г.</t>
        </is>
      </c>
      <c r="E52" s="2" t="inlineStr">
        <is>
          <t>"13" июня 2022 г.</t>
        </is>
      </c>
      <c r="F52" s="28" t="inlineStr">
        <is>
          <t>Устройство слоя из ЦПС под покрытие Тип 7</t>
        </is>
      </c>
      <c r="G52" s="29" t="inlineStr">
        <is>
          <t>Шифр 50-19-02-14-ПЗУ. ООО "СТРОЙ ПРЕСТИЖ"</t>
        </is>
      </c>
      <c r="H52" s="29" t="inlineStr">
        <is>
          <t>Смесь сухая цементно-песчаная, паспорт качества №55 от 29.04.2022 г., сертификат соответствия №РОСС RU.32001.04ИБФ1.ОСП18.17941 срок действия с 21.03.2022 по 20.03.2025 г.</t>
        </is>
      </c>
      <c r="I52" s="29" t="inlineStr">
        <is>
          <t>Исполнительная схема№ ГП/167 "Устройство слоя из ЦПС под покрытие Тип 7"</t>
        </is>
      </c>
      <c r="J52"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52" s="29" t="inlineStr">
        <is>
          <t>Устройство слоя из брусчатки Тип 7</t>
        </is>
      </c>
      <c r="L52" s="53" t="inlineStr">
        <is>
          <t>Исполнительная схема№ ГП/167 "Устройство слоя из ЦПС под покрытие Тип 7"</t>
        </is>
      </c>
    </row>
    <row r="53" ht="112" customHeight="1">
      <c r="B53" s="27" t="inlineStr">
        <is>
          <t>№ ГП/168</t>
        </is>
      </c>
      <c r="C53" s="2" t="inlineStr">
        <is>
          <t>"15" июня 2022 г.</t>
        </is>
      </c>
      <c r="D53" s="2" t="inlineStr">
        <is>
          <t>"13" июня 2022 г.</t>
        </is>
      </c>
      <c r="E53" s="2" t="inlineStr">
        <is>
          <t>"15" июня 2022 г.</t>
        </is>
      </c>
      <c r="F53" s="28" t="inlineStr">
        <is>
          <t>Устройство слоя из брусчатки Тип 7</t>
        </is>
      </c>
      <c r="G53" s="29" t="inlineStr">
        <is>
          <t>Шифр 50-19-02-14-ПЗУ. ООО "СТРОЙ ПРЕСТИЖ"</t>
        </is>
      </c>
      <c r="H53" s="29" t="inlineStr">
        <is>
          <t>Плиты бетонные тротуарные 200х100х80, документ о качестве №4839/Б от 08.06.2022., №4800/Б от 07.06.2022., №4799/Б от 07.06.2022., №4769/Б от 07.06.2022., №4697/Б от 06.06.2022., №4568/Б от 03.06.2022., №4569/Б от 03.06.2022., №4413/Б от 31.05.2022.; Смесь сухая цементно-песчаная, паспорт качества №55 от 29.04.2022 г., сертификат соответствия №РОСС RU.32001.04ИБФ1.ОСП18.17941 срок действия с 21.03.2022 по 20.03.2025 г.</t>
        </is>
      </c>
      <c r="I53" s="29" t="inlineStr">
        <is>
          <t>Исполнительная схема№ ГП/168 "Устройство слоя из брусчатки Тип 7"</t>
        </is>
      </c>
      <c r="J53"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53" s="29" t="inlineStr">
        <is>
          <t>-</t>
        </is>
      </c>
      <c r="L53" s="53" t="inlineStr">
        <is>
          <t>Исполнительная схема№ ГП/168 "Устройство слоя из брусчатки Тип 7"</t>
        </is>
      </c>
    </row>
    <row r="54" ht="98" customHeight="1">
      <c r="B54" s="27" t="inlineStr">
        <is>
          <t>№ ГП/169</t>
        </is>
      </c>
      <c r="C54" s="2" t="inlineStr">
        <is>
          <t>"24" июня 2022 г.</t>
        </is>
      </c>
      <c r="D54" s="2" t="inlineStr">
        <is>
          <t>"21" июня 2022 г.</t>
        </is>
      </c>
      <c r="E54" s="2" t="inlineStr">
        <is>
          <t>"24" июня 2022 г.</t>
        </is>
      </c>
      <c r="F54" s="28" t="inlineStr">
        <is>
          <t>Устройство тротуарной плитки на лестницах Тип 8</t>
        </is>
      </c>
      <c r="G54" s="29" t="inlineStr">
        <is>
          <t>Шифр 50-19-02-14-ПЗУ. ООО "СТРОЙ ПРЕСТИЖ"</t>
        </is>
      </c>
      <c r="H54" s="29" t="inlineStr">
        <is>
          <t>Тротуарная плитка Паркет 300х300х30, паспорт качества №б/н, сертификат качества №РОСС RU.32396.04НТЦ0.ОС02.00603 срок действия с 10.11.2021 по 09.11.2024 г.; Смесь сухая цементно-песчаная марка М-150, паспорт качества №55 от 09.04.2022 г., сертификат соответствия №РОСС RU.32001.04ИБФ1.ОСП18.17941 срок действия с 21.03.2022 по 20.03.2025 г.</t>
        </is>
      </c>
      <c r="I54" s="29" t="inlineStr">
        <is>
          <t>Исполнительная схема№ ГП/169 "Устройство тротуарной плитки на лестницах Тип 8"</t>
        </is>
      </c>
      <c r="J54"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54" s="29" t="inlineStr">
        <is>
          <t>-</t>
        </is>
      </c>
      <c r="L54" s="53" t="inlineStr">
        <is>
          <t>Исполнительная схема№ ГП/169 "Устройство тротуарной плитки на лестницах Тип 8"</t>
        </is>
      </c>
    </row>
    <row r="55" ht="75" customHeight="1">
      <c r="B55" s="27" t="inlineStr">
        <is>
          <t>№ ГП/170</t>
        </is>
      </c>
      <c r="C55" s="2" t="inlineStr">
        <is>
          <t>"09" августа 2022 г.</t>
        </is>
      </c>
      <c r="D55" s="2" t="inlineStr">
        <is>
          <t>"07" августа 2022 г.</t>
        </is>
      </c>
      <c r="E55" s="2" t="inlineStr">
        <is>
          <t>"09" августа 2022 г.</t>
        </is>
      </c>
      <c r="F55" s="28" t="inlineStr">
        <is>
          <t>Устройство монтажного слоя песка и цемента под покрытие Тип 9</t>
        </is>
      </c>
      <c r="G55" s="29" t="inlineStr">
        <is>
          <t>Шифр 50-19-02-14-ПЗУ. ООО "СТРОЙ ПРЕСТИЖ"</t>
        </is>
      </c>
      <c r="H55" s="29" t="inlineStr">
        <is>
          <t>Смесь сухая цементно-песчаная, паспорт качества №55 от 29.04.2022 г., сертификат соответствия №РОСС RU.32001.04ИБФ1.ОСП18.17941 срок действия с 21.03.2022 по 20.03.2025 г.</t>
        </is>
      </c>
      <c r="I55" s="29" t="inlineStr">
        <is>
          <t>Исполнительная схема № ГП/170 "Устройство монтажного слоя песка и цемента под покрытие Тип 9"</t>
        </is>
      </c>
      <c r="J55"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55" s="29" t="inlineStr">
        <is>
          <t>Устройство брусчатки Тип 9</t>
        </is>
      </c>
      <c r="L55" s="53" t="inlineStr">
        <is>
          <t>Исполнительная схема № ГП/170 "Устройство монтажного слоя песка и цемента под покрытие Тип 9"</t>
        </is>
      </c>
    </row>
    <row r="56" ht="98" customHeight="1">
      <c r="B56" s="27" t="inlineStr">
        <is>
          <t>№ ГП/171</t>
        </is>
      </c>
      <c r="C56" s="2" t="inlineStr">
        <is>
          <t>"13" августа 2022 г.</t>
        </is>
      </c>
      <c r="D56" s="2" t="inlineStr">
        <is>
          <t>"09" августа 2022 г.</t>
        </is>
      </c>
      <c r="E56" s="2" t="inlineStr">
        <is>
          <t>"13" августа 2022 г.</t>
        </is>
      </c>
      <c r="F56" s="28" t="inlineStr">
        <is>
          <t>Устройство брусчатки Тип 9</t>
        </is>
      </c>
      <c r="G56" s="29" t="inlineStr">
        <is>
          <t>Шифр 50-19-02-14-ПЗУ. ООО "СТРОЙ ПРЕСТИЖ"</t>
        </is>
      </c>
      <c r="H56" s="29" t="inlineStr">
        <is>
          <t>Брусчатка 200х100х60, паспорт качества №б/н, сертификат соответствия №РОСС RU.32396.04НТЦ0.ОС02.00603 срок действия с 10.11.2021 по 09.11.2024 г.; Смесь сухая цементно-песчаная марка М-150, паспорт качества №55 от 09.04.2022 г., сертификат соответствия №РОСС RU.32001.04ИБФ1.ОСП18.17941 срок действия с 21.03.2022 по 20.03.2025 г.</t>
        </is>
      </c>
      <c r="I56" s="29" t="inlineStr">
        <is>
          <t>Исполнительная схема № ГП/171 "Устройство брусчатки Тип 9"</t>
        </is>
      </c>
      <c r="J56"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56" s="29" t="inlineStr">
        <is>
          <t>-</t>
        </is>
      </c>
      <c r="L56" s="53" t="inlineStr">
        <is>
          <t>Исполнительная схема № ГП/171 "Устройство брусчатки Тип 9"</t>
        </is>
      </c>
    </row>
    <row r="57" ht="90" customHeight="1">
      <c r="B57" s="27" t="inlineStr">
        <is>
          <t>№ ГП/172</t>
        </is>
      </c>
      <c r="C57" s="2" t="inlineStr">
        <is>
          <t>"03" июня 2022 г.</t>
        </is>
      </c>
      <c r="D57" s="2" t="inlineStr">
        <is>
          <t>"02" июня 2022 г.</t>
        </is>
      </c>
      <c r="E57" s="2" t="inlineStr">
        <is>
          <t>"03" июня 2022 г.</t>
        </is>
      </c>
      <c r="F57" s="28" t="inlineStr">
        <is>
          <t>Уплотнение грунта под покрытие Тип 10</t>
        </is>
      </c>
      <c r="G57" s="29" t="inlineStr">
        <is>
          <t>Шифр 50-19-02-14-ПЗУ. ООО "СТРОЙ ПРЕСТИЖ"</t>
        </is>
      </c>
      <c r="H57" s="29" t="inlineStr">
        <is>
          <t xml:space="preserve">Полотно нетканое геотекстильное (Дорнит) марки ГИДРОСПАН 400/4,20, паспорт качества №108 от 10.05.2022 г., </t>
        </is>
      </c>
      <c r="I57" s="29" t="inlineStr">
        <is>
          <t>Исполнительная схема № ГП/172 "Уплотнение грунта под покрытие Тип 10"</t>
        </is>
      </c>
      <c r="J57"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57" s="29" t="inlineStr">
        <is>
          <t>Устройство геотекстиля под покрытие Тип 10</t>
        </is>
      </c>
      <c r="L57" s="53" t="inlineStr">
        <is>
          <t>Исполнительная схема № ГП/172 "Уплотнение грунта под покрытие Тип 10"</t>
        </is>
      </c>
    </row>
    <row r="58" ht="90" customHeight="1">
      <c r="B58" s="27" t="inlineStr">
        <is>
          <t>№ ГП/173</t>
        </is>
      </c>
      <c r="C58" s="2" t="inlineStr">
        <is>
          <t>"06" июня 2022 г.</t>
        </is>
      </c>
      <c r="D58" s="2" t="inlineStr">
        <is>
          <t>"04" июня 2022 г.</t>
        </is>
      </c>
      <c r="E58" s="2" t="inlineStr">
        <is>
          <t>"06" июня 2022 г.</t>
        </is>
      </c>
      <c r="F58" s="28" t="inlineStr">
        <is>
          <t>Устройство слоя геотекстиля под покрытие Тип 10</t>
        </is>
      </c>
      <c r="G58" s="29" t="inlineStr">
        <is>
          <t>Шифр 50-19-02-14-ПЗУ. ООО "СТРОЙ ПРЕСТИЖ"</t>
        </is>
      </c>
      <c r="H58" s="29" t="inlineStr">
        <is>
          <t xml:space="preserve">Полотно нетканое геотекстильное (Дорнит) марки ГИДРОСПАН 400/4,20, паспорт качества №108 от 10.05.2022 г., </t>
        </is>
      </c>
      <c r="I58" s="29" t="inlineStr">
        <is>
          <t>Исполнительная схема № ГП/173 "Устройство слоя геотекстиля под покрытие Тип 10"</t>
        </is>
      </c>
      <c r="J58"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58" s="29" t="inlineStr">
        <is>
          <t>Устройство слоя песка под покрытие Тип 10</t>
        </is>
      </c>
      <c r="L58" s="53" t="inlineStr">
        <is>
          <t>Исполнительная схема № ГП/173 "Устройство слоя геотекстиля под покрытие Тип 10"</t>
        </is>
      </c>
    </row>
    <row r="59" ht="90" customHeight="1">
      <c r="B59" s="27" t="inlineStr">
        <is>
          <t>№ ГП/174</t>
        </is>
      </c>
      <c r="C59" s="2" t="inlineStr">
        <is>
          <t>"08" июня 2022 г.</t>
        </is>
      </c>
      <c r="D59" s="2" t="inlineStr">
        <is>
          <t>"07" июня 2022 г.</t>
        </is>
      </c>
      <c r="E59" s="2" t="inlineStr">
        <is>
          <t>"08" июня 2022 г.</t>
        </is>
      </c>
      <c r="F59" s="28" t="inlineStr">
        <is>
          <t>Устройство слоя песка под покрытие Тип 10</t>
        </is>
      </c>
      <c r="G59" s="29" t="inlineStr">
        <is>
          <t>Шифр 50-19-02-14-ПЗУ. ООО "СТРОЙ ПРЕСТИЖ"</t>
        </is>
      </c>
      <c r="H59" s="31" t="inlineStr">
        <is>
          <t>Песок природный для строительных работ, паспорт №1/21 от 16.04.2022 г., сертификат соответствия №РОСС RU.НВ61.Н02148 срок действия с 10.03.2020 по 09.03.2023 г.</t>
        </is>
      </c>
      <c r="I59" s="29" t="inlineStr">
        <is>
          <t>Исполнительная схема № ГП/174 "Устройство слоя песка под покрытие Тип 10"</t>
        </is>
      </c>
      <c r="J59"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59" s="29" t="inlineStr">
        <is>
          <t>Устройство из геотекстиля под покрытие Тип 10</t>
        </is>
      </c>
      <c r="L59" s="53" t="inlineStr">
        <is>
          <t>Исполнительная схема № ГП/174 "Устройство слоя песка под покрытие Тип 10"</t>
        </is>
      </c>
    </row>
    <row r="60" ht="90" customHeight="1">
      <c r="B60" s="27" t="inlineStr">
        <is>
          <t>№ ГП/175</t>
        </is>
      </c>
      <c r="C60" s="2" t="inlineStr">
        <is>
          <t>"10" июня 2022 г.</t>
        </is>
      </c>
      <c r="D60" s="2" t="inlineStr">
        <is>
          <t>"09" июня 2022 г.</t>
        </is>
      </c>
      <c r="E60" s="2" t="inlineStr">
        <is>
          <t>"10" июня 2022 г.</t>
        </is>
      </c>
      <c r="F60" s="28" t="inlineStr">
        <is>
          <t>Устройство слоя из геотекстиля под покрытие Тип 10</t>
        </is>
      </c>
      <c r="G60" s="29" t="inlineStr">
        <is>
          <t>Шифр 50-19-02-14-ПЗУ. ООО "СТРОЙ ПРЕСТИЖ"</t>
        </is>
      </c>
      <c r="H60" s="29" t="inlineStr">
        <is>
          <t xml:space="preserve">Полотно нетканое геотекстильное (Дорнит) марки ГИДРОСПАН 400/4,20, паспорт качества №108 от 10.05.2022 г., </t>
        </is>
      </c>
      <c r="I60" s="29" t="inlineStr">
        <is>
          <t>Исполнительная схема № ГП/175 "Устройство слоя из геотекстиля под покрытие Тип 10"</t>
        </is>
      </c>
      <c r="J60"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0" s="29" t="inlineStr">
        <is>
          <t>Устройство слоя из щебня 40-60 под покрытие Тип 10</t>
        </is>
      </c>
      <c r="L60" s="53" t="inlineStr">
        <is>
          <t>Исполнительная схема № ГП/175 "Устройство слоя из геотекстиля под покрытие Тип 10"</t>
        </is>
      </c>
    </row>
    <row r="61" ht="90" customHeight="1">
      <c r="B61" s="27" t="inlineStr">
        <is>
          <t>№ ГП/176</t>
        </is>
      </c>
      <c r="C61" s="2" t="inlineStr">
        <is>
          <t>"13" июня 2022 г.</t>
        </is>
      </c>
      <c r="D61" s="2" t="inlineStr">
        <is>
          <t>"11" июня 2022 г.</t>
        </is>
      </c>
      <c r="E61" s="2" t="inlineStr">
        <is>
          <t>"13" июня 2022 г.</t>
        </is>
      </c>
      <c r="F61" s="28" t="inlineStr">
        <is>
          <t>Устройство слоя слоя из щебня 40-60 под покрытие Тип 10</t>
        </is>
      </c>
      <c r="G61" s="29" t="inlineStr">
        <is>
          <t>Шифр 50-19-02-14-ПЗУ. ООО "СТРОЙ ПРЕСТИЖ"</t>
        </is>
      </c>
      <c r="H61" s="29" t="inlineStr">
        <is>
          <t>Паспорт качества на щебень известняковый фракции 40-70, паспорт №б/н от 27.02.2022 г., Сертификат соответствия №РОСС.RU.АГ25.Н12101 срок действия с 17.12.2021 по 16.12.2024 г.</t>
        </is>
      </c>
      <c r="I61" s="29" t="inlineStr">
        <is>
          <t>Исполнительная схема № ГП/176 "Устройство слоя из щебня 40-60 под покрытие Тип 10"</t>
        </is>
      </c>
      <c r="J61"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1" s="29" t="inlineStr">
        <is>
          <t>Устройство слоя из щебня 20- 40 под покрытие Тип 10</t>
        </is>
      </c>
      <c r="L61" s="53" t="inlineStr">
        <is>
          <t>Исполнительная схема № ГП/176 "Устройство слоя из щебня 40-60 под покрытие Тип 10"</t>
        </is>
      </c>
    </row>
    <row r="62" ht="90" customHeight="1">
      <c r="B62" s="27" t="inlineStr">
        <is>
          <t>№ ГП/177</t>
        </is>
      </c>
      <c r="C62" s="2" t="inlineStr">
        <is>
          <t>"16" июня 2022 г.</t>
        </is>
      </c>
      <c r="D62" s="2" t="inlineStr">
        <is>
          <t>"13" июня 2022 г.</t>
        </is>
      </c>
      <c r="E62" s="2" t="inlineStr">
        <is>
          <t>"16" июня 2022 г.</t>
        </is>
      </c>
      <c r="F62" s="28" t="inlineStr">
        <is>
          <t>Устройство слоя из щебня 20- 40 под покрытие Тип 10</t>
        </is>
      </c>
      <c r="G62" s="29" t="inlineStr">
        <is>
          <t>Шифр 50-19-02-14-ПЗУ. ООО "СТРОЙ ПРЕСТИЖ"</t>
        </is>
      </c>
      <c r="H62" s="25" t="inlineStr">
        <is>
          <t>Щебень известняковый фракции 20-40, паспорт качества №б/н от 27.02.2022 г., Сертификат соответствия №РОСС.RU.АГ25.Н12101 срок действия с 17.12.2021 по 16.12.2024 г.</t>
        </is>
      </c>
      <c r="I62" s="29" t="inlineStr">
        <is>
          <t>Исполнительная схема № ГП/177 "Устройство слоя из щебня 20- 40 под покрытие Тип 10"</t>
        </is>
      </c>
      <c r="J62"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2" s="29" t="inlineStr">
        <is>
          <t>Устройство слоя из битума под покрытие Тип 10</t>
        </is>
      </c>
      <c r="L62" s="53" t="inlineStr">
        <is>
          <t>Исполнительная схема № ГП/177 "Устройство слоя из щебня 20- 40 под покрытие Тип 10"</t>
        </is>
      </c>
    </row>
    <row r="63" ht="90" customHeight="1">
      <c r="B63" s="27" t="inlineStr">
        <is>
          <t>№ ГП/178</t>
        </is>
      </c>
      <c r="C63" s="2" t="inlineStr">
        <is>
          <t>"17" июня 2022 г.</t>
        </is>
      </c>
      <c r="D63" s="2" t="inlineStr">
        <is>
          <t>"17" июня 2022 г.</t>
        </is>
      </c>
      <c r="E63" s="2" t="inlineStr">
        <is>
          <t>"17" июня 2022 г.</t>
        </is>
      </c>
      <c r="F63" s="28" t="inlineStr">
        <is>
          <t>Устройство слоя из битума под покрытие Тип 10</t>
        </is>
      </c>
      <c r="G63" s="29" t="inlineStr">
        <is>
          <t>Шифр 50-19-02-14-ПЗУ. ООО "СТРОЙ ПРЕСТИЖ"</t>
        </is>
      </c>
      <c r="H63" s="25" t="inlineStr">
        <is>
          <t>Битум нефтяной, паспорт продукции №90-1-08-14 от 03.06.2022 г., декларация о соответствии №ЕАЭС N RU Д-RU.АИ16.В.03915 срок действия с 02.03.2018 по 01.03.2023 г.</t>
        </is>
      </c>
      <c r="I63" s="29" t="inlineStr">
        <is>
          <t>Исполнительная схема № ГП/178 "Устройство слоя из битума под покрытие Тип 10"</t>
        </is>
      </c>
      <c r="J63"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3" s="29" t="inlineStr">
        <is>
          <t>Устройство слоя из асфальтобетона крупнозернистого под покрытие Тип 10</t>
        </is>
      </c>
      <c r="L63" s="53" t="inlineStr">
        <is>
          <t>Исполнительная схема № ГП/178 "Устройство слоя из битума под покрытие Тип 10"</t>
        </is>
      </c>
    </row>
    <row r="64" ht="90" customHeight="1">
      <c r="B64" s="27" t="inlineStr">
        <is>
          <t>№ ГП/179</t>
        </is>
      </c>
      <c r="C64" s="2" t="inlineStr">
        <is>
          <t>"20" июня 2022 г.</t>
        </is>
      </c>
      <c r="D64" s="2" t="inlineStr">
        <is>
          <t>"20" июня 2022 г.</t>
        </is>
      </c>
      <c r="E64" s="2" t="inlineStr">
        <is>
          <t>"20" июня 2022 г.</t>
        </is>
      </c>
      <c r="F64" s="28" t="inlineStr">
        <is>
          <t>Устройство слоя из асфальтобетона крупнозернистого под покрытие Тип 10</t>
        </is>
      </c>
      <c r="G64" s="29" t="inlineStr">
        <is>
          <t>Шифр 50-19-02-14-ПЗУ. ООО "СТРОЙ ПРЕСТИЖ"</t>
        </is>
      </c>
      <c r="H64" s="29" t="inlineStr">
        <is>
          <t>Крупнозернистая смесь для плотного асфальтобетоа тип Б марка II для нижнего слоя покрытия, паспорт №496 от 20.06.2022 г.</t>
        </is>
      </c>
      <c r="I64" s="29" t="inlineStr">
        <is>
          <t>Исполнительная схема № ГП/179 "Устройство слоя из асфальтобетона крупнозернистого под покрытие Тип 10"</t>
        </is>
      </c>
      <c r="J64"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4" s="29" t="inlineStr">
        <is>
          <t>Устройство слоя из асфальтобетона песчаного под покрытие Тип 10</t>
        </is>
      </c>
      <c r="L64" s="53" t="inlineStr">
        <is>
          <t>Исполнительная схема № ГП/179 "Устройство слоя из асфальтобетона крупнозернистого под покрытие Тип 10"</t>
        </is>
      </c>
    </row>
    <row r="65" ht="90" customHeight="1">
      <c r="B65" s="27" t="inlineStr">
        <is>
          <t>№ ГП/180</t>
        </is>
      </c>
      <c r="C65" s="2" t="inlineStr">
        <is>
          <t>"26" июня 2022 г.</t>
        </is>
      </c>
      <c r="D65" s="2" t="inlineStr">
        <is>
          <t>"26" июня 2022 г.</t>
        </is>
      </c>
      <c r="E65" s="2" t="inlineStr">
        <is>
          <t>"26" июня 2022 г.</t>
        </is>
      </c>
      <c r="F65" s="28" t="inlineStr">
        <is>
          <t>Устройство слоя из асфальтобетона песчаного под покрытие Тип 10</t>
        </is>
      </c>
      <c r="G65" s="29" t="inlineStr">
        <is>
          <t>Шифр 50-19-02-14-ПЗУ. ООО "СТРОЙ ПРЕСТИЖ"</t>
        </is>
      </c>
      <c r="H65" s="29" t="inlineStr">
        <is>
          <t>Песчаная асфальтобетонная смесь тип Д марки II для верхнего слоя покрытия, паспорт №582 от 26.06.2022 г.</t>
        </is>
      </c>
      <c r="I65" s="29" t="inlineStr">
        <is>
          <t>Исполнительная схема № ГП/180 "Устройство слоя из асфальтобетона песчаного под покрытие Тип 10"</t>
        </is>
      </c>
      <c r="J65"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5" s="29" t="inlineStr">
        <is>
          <t>-</t>
        </is>
      </c>
      <c r="L65" s="53" t="inlineStr">
        <is>
          <t>Исполнительная схема № ГП/180 "Устройство слоя из асфальтобетона песчаного под покрытие Тип 10"</t>
        </is>
      </c>
    </row>
    <row r="66" ht="90" customHeight="1">
      <c r="B66" s="27" t="inlineStr">
        <is>
          <t>№ ГП/181</t>
        </is>
      </c>
      <c r="C66" s="2" t="inlineStr">
        <is>
          <t>"03"  июля 2022 г.</t>
        </is>
      </c>
      <c r="D66" s="2" t="inlineStr">
        <is>
          <t>"02" июля 2022 г.</t>
        </is>
      </c>
      <c r="E66" s="2" t="inlineStr">
        <is>
          <t>"03"  июля 2022 г.</t>
        </is>
      </c>
      <c r="F66" s="28" t="inlineStr">
        <is>
          <t>Уплотнение грунта под покрытие Тип 11</t>
        </is>
      </c>
      <c r="G66" s="29" t="inlineStr">
        <is>
          <t>Шифр 50-19-02-14-ПЗУ. ООО "СТРОЙ ПРЕСТИЖ"</t>
        </is>
      </c>
      <c r="H66" s="29" t="inlineStr">
        <is>
          <t xml:space="preserve">Полотно нетканое геотекстильное (Дорнит) марки ГИДРОСПАН 400/4,20, паспорт качества №108 от 10.05.2022 г., </t>
        </is>
      </c>
      <c r="I66" s="29" t="inlineStr">
        <is>
          <t>Исполнительная схема № ГП/181 "Уплотнение грунта под покрытие Тип 11"</t>
        </is>
      </c>
      <c r="J66"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6" s="29" t="inlineStr">
        <is>
          <t>Устройство геотекстиля под покрытие Тип 11</t>
        </is>
      </c>
      <c r="L66" s="53" t="inlineStr">
        <is>
          <t>Исполнительная схема № ГП/181 "Уплотнение грунта под покрытие Тип 11"</t>
        </is>
      </c>
    </row>
    <row r="67" ht="90" customHeight="1">
      <c r="B67" s="27" t="inlineStr">
        <is>
          <t>№ ГП/182</t>
        </is>
      </c>
      <c r="C67" s="2" t="inlineStr">
        <is>
          <t>"05"  июля 2022 г.</t>
        </is>
      </c>
      <c r="D67" s="2" t="inlineStr">
        <is>
          <t>"04" июля 2022 г.</t>
        </is>
      </c>
      <c r="E67" s="2" t="inlineStr">
        <is>
          <t>"05"  июля 2022 г.</t>
        </is>
      </c>
      <c r="F67" s="28" t="inlineStr">
        <is>
          <t>Устройство слоя геотекстиля под покрытие Тип 11</t>
        </is>
      </c>
      <c r="G67" s="29" t="inlineStr">
        <is>
          <t>Шифр 50-19-02-14-ПЗУ. ООО "СТРОЙ ПРЕСТИЖ"</t>
        </is>
      </c>
      <c r="H67" s="29" t="inlineStr">
        <is>
          <t xml:space="preserve">Полотно нетканое геотекстильное (Дорнит) марки ГИДРОСПАН 400/4,20, паспорт качества №108 от 10.05.2022 г., </t>
        </is>
      </c>
      <c r="I67" s="29" t="inlineStr">
        <is>
          <t>Исполнительная схема № ГП/182 "Устройство слоя геотекстиля под покрытие Тип 11"</t>
        </is>
      </c>
      <c r="J67"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7" s="29" t="inlineStr">
        <is>
          <t>Устройство слоя песка под покрытие Тип 11</t>
        </is>
      </c>
      <c r="L67" s="53" t="inlineStr">
        <is>
          <t>Исполнительная схема № ГП/182 "Устройство слоя геотекстиля под покрытие Тип 11"</t>
        </is>
      </c>
    </row>
    <row r="68" ht="90" customHeight="1">
      <c r="B68" s="27" t="inlineStr">
        <is>
          <t>№ ГП/183</t>
        </is>
      </c>
      <c r="C68" s="2" t="inlineStr">
        <is>
          <t>"06"  июля 2022 г.</t>
        </is>
      </c>
      <c r="D68" s="2" t="inlineStr">
        <is>
          <t>"5"  июля 2022 г.</t>
        </is>
      </c>
      <c r="E68" s="2" t="inlineStr">
        <is>
          <t>"06"  июля 2022 г.</t>
        </is>
      </c>
      <c r="F68" s="28" t="inlineStr">
        <is>
          <t>Устройство слоя песка под покрытие Тип 11</t>
        </is>
      </c>
      <c r="G68" s="29" t="inlineStr">
        <is>
          <t>Шифр 50-19-02-14-ПЗУ. ООО "СТРОЙ ПРЕСТИЖ"</t>
        </is>
      </c>
      <c r="H68" s="31" t="inlineStr">
        <is>
          <t>Песок природный для строительных работ, паспорт №1/21 от 16.04.2022 г., сертификат соответствия №РОСС RU.НВ61.Н02148 срок действия с 10.03.2020 по 09.03.2023 г.</t>
        </is>
      </c>
      <c r="I68" s="29" t="inlineStr">
        <is>
          <t>Исполнительная схема № ГП/183 "Устройство слоя песка под покрытие Тип 11"</t>
        </is>
      </c>
      <c r="J68"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8" s="29" t="inlineStr">
        <is>
          <t>Устройство из геотекстиля под покрытие Тип 11</t>
        </is>
      </c>
      <c r="L68" s="53" t="inlineStr">
        <is>
          <t>Исполнительная схема № ГП/183 "Устройство слоя песка под покрытие Тип 11"</t>
        </is>
      </c>
    </row>
    <row r="69" ht="90" customHeight="1">
      <c r="B69" s="27" t="inlineStr">
        <is>
          <t>№ ГП/184</t>
        </is>
      </c>
      <c r="C69" s="2" t="inlineStr">
        <is>
          <t>"07" июля 2022 г.</t>
        </is>
      </c>
      <c r="D69" s="2" t="inlineStr">
        <is>
          <t>"07"  июля 2022 г.</t>
        </is>
      </c>
      <c r="E69" s="2" t="inlineStr">
        <is>
          <t>"07" июля 2022 г.</t>
        </is>
      </c>
      <c r="F69" s="28" t="inlineStr">
        <is>
          <t>Устройство слоя из геотекстиля под покрытие Тип 11</t>
        </is>
      </c>
      <c r="G69" s="29" t="inlineStr">
        <is>
          <t>Шифр 50-19-02-14-ПЗУ. ООО "СТРОЙ ПРЕСТИЖ"</t>
        </is>
      </c>
      <c r="H69" s="29" t="inlineStr">
        <is>
          <t xml:space="preserve">Полотно нетканое геотекстильное (Дорнит) марки ГИДРОСПАН 400/4,20, паспорт качества №108 от 10.05.2022 г., </t>
        </is>
      </c>
      <c r="I69" s="29" t="inlineStr">
        <is>
          <t>Исполнительная схема № ГП/184 "Устройство слоя из геотекстиля под покрытие Тип 11"</t>
        </is>
      </c>
      <c r="J69"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9" s="29" t="inlineStr">
        <is>
          <t>Устройство слоя из щебня 40-60 под покрытие Тип 11</t>
        </is>
      </c>
      <c r="L69" s="53" t="inlineStr">
        <is>
          <t>Исполнительная схема № ГП/184 "Устройство слоя из геотекстиля под покрытие Тип 11"</t>
        </is>
      </c>
    </row>
    <row r="70" ht="90" customHeight="1">
      <c r="B70" s="27" t="inlineStr">
        <is>
          <t>№ ГП/185</t>
        </is>
      </c>
      <c r="C70" s="2" t="inlineStr">
        <is>
          <t>"09"  июля 2022 г.</t>
        </is>
      </c>
      <c r="D70" s="2" t="inlineStr">
        <is>
          <t>"08"  июля 2022 г.</t>
        </is>
      </c>
      <c r="E70" s="2" t="inlineStr">
        <is>
          <t>"09"  июля 2022 г.</t>
        </is>
      </c>
      <c r="F70" s="28" t="inlineStr">
        <is>
          <t>Устройство слоя из щебня 40-60 под покрытие Тип 11</t>
        </is>
      </c>
      <c r="G70" s="29" t="inlineStr">
        <is>
          <t>Шифр 50-19-02-14-ПЗУ. ООО "СТРОЙ ПРЕСТИЖ"</t>
        </is>
      </c>
      <c r="H70" s="29" t="inlineStr">
        <is>
          <t>Паспорт качества на щебень известняковый фракции 40-70, паспорт №б/н от 27.02.2022 г., Сертификат соответствия №РОСС.RU.АГ25.Н12101 срок действия с 17.12.2021 по 16.12.2024 г.</t>
        </is>
      </c>
      <c r="I70" s="29" t="inlineStr">
        <is>
          <t>Исполнительная схема № ГП/185 "Устройство слоя из щебня 40-60 под покрытие Тип 11"</t>
        </is>
      </c>
      <c r="J70"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70" s="29" t="inlineStr">
        <is>
          <t>Устройство слоя из щебня 20-40 под покрытие Тип 11</t>
        </is>
      </c>
      <c r="L70" s="53" t="inlineStr">
        <is>
          <t>Исполнительная схема № ГП/185 "Устройство слоя из щебня 40-60 под покрытие Тип 11"</t>
        </is>
      </c>
    </row>
    <row r="71" ht="90" customHeight="1">
      <c r="B71" s="27" t="inlineStr">
        <is>
          <t>№ ГП/186</t>
        </is>
      </c>
      <c r="C71" s="2" t="inlineStr">
        <is>
          <t>"10"  июля 2022 г.</t>
        </is>
      </c>
      <c r="D71" s="2" t="inlineStr">
        <is>
          <t>"10"  июля 2022 г.</t>
        </is>
      </c>
      <c r="E71" s="2" t="inlineStr">
        <is>
          <t>"10"  июля 2022 г.</t>
        </is>
      </c>
      <c r="F71" s="28" t="inlineStr">
        <is>
          <t>Устройство слоя из щебня 20-40 под покрытие Тип 11</t>
        </is>
      </c>
      <c r="G71" s="29" t="inlineStr">
        <is>
          <t>Шифр 50-19-02-14-ПЗУ. ООО "СТРОЙ ПРЕСТИЖ"</t>
        </is>
      </c>
      <c r="H71" s="25" t="inlineStr">
        <is>
          <t>Щебень известняковый фракции 20-40, паспорт качества №б/н от 27.02.2022 г., Сертификат соответствия №РОСС.RU.АГ25.Н12101 срок действия с 17.12.2021 по 16.12.2024 г.</t>
        </is>
      </c>
      <c r="I71" s="29" t="inlineStr">
        <is>
          <t>Исполнительная схема № ГП/186 "Устройство слоя из щебня 20-40 под покрытие Тип 11"</t>
        </is>
      </c>
      <c r="J71"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71" s="29" t="inlineStr">
        <is>
          <t>Устройство слоя из битума под покрытие Тип 11</t>
        </is>
      </c>
      <c r="L71" s="53" t="inlineStr">
        <is>
          <t>Исполнительная схема № ГП/186 "Устройство слоя из щебня 20-40 под покрытие Тип 11"</t>
        </is>
      </c>
    </row>
    <row r="72" ht="90" customHeight="1">
      <c r="B72" s="27" t="inlineStr">
        <is>
          <t>№ ГП/187</t>
        </is>
      </c>
      <c r="C72" s="2" t="inlineStr">
        <is>
          <t>"11" июля 2022 г.</t>
        </is>
      </c>
      <c r="D72" s="2" t="inlineStr">
        <is>
          <t>"11"  июля 2022 г.</t>
        </is>
      </c>
      <c r="E72" s="2" t="inlineStr">
        <is>
          <t>"11" июля 2022 г.</t>
        </is>
      </c>
      <c r="F72" s="28" t="inlineStr">
        <is>
          <t>Устройство слоя из битума под покрытие Тип 11</t>
        </is>
      </c>
      <c r="G72" s="29" t="inlineStr">
        <is>
          <t>Шифр 50-19-02-14-ПЗУ. ООО "СТРОЙ ПРЕСТИЖ"</t>
        </is>
      </c>
      <c r="H72" s="25" t="inlineStr">
        <is>
          <t>Битум нефтяной, паспорт продукции №90-1-08-14 от 03.06.2022 г., декларация о соответствии №ЕАЭС N RU Д-RU.АИ16.В.03915 срок действия с 02.03.2018 по 01.03.2023 г.</t>
        </is>
      </c>
      <c r="I72" s="29" t="inlineStr">
        <is>
          <t>Исполнительная схема № ГП/187 "Устройство слоя из битума под покрытие Тип 11"</t>
        </is>
      </c>
      <c r="J72"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72" s="29" t="inlineStr">
        <is>
          <t>Устройство слоя из асфальтобетона крупнозернистого под покрытие Тип 11</t>
        </is>
      </c>
      <c r="L72" s="53" t="inlineStr">
        <is>
          <t>Исполнительная схема № ГП/187 "Устройство слоя из битума под покрытие Тип 11"</t>
        </is>
      </c>
    </row>
    <row r="73" ht="90" customHeight="1">
      <c r="B73" s="27" t="inlineStr">
        <is>
          <t>№ ГП/188</t>
        </is>
      </c>
      <c r="C73" s="2" t="inlineStr">
        <is>
          <t>"12" июля 2022 г.</t>
        </is>
      </c>
      <c r="D73" s="2" t="inlineStr">
        <is>
          <t>"12" июля 2022 г.</t>
        </is>
      </c>
      <c r="E73" s="2" t="inlineStr">
        <is>
          <t>"12" июля 2022 г.</t>
        </is>
      </c>
      <c r="F73" s="34" t="inlineStr">
        <is>
          <t>Устройство слоя из асфальтобетона крупнозернистого под покрытие Тип 11</t>
        </is>
      </c>
      <c r="G73" s="29" t="inlineStr">
        <is>
          <t>Шифр 50-19-02-14-ПЗУ. ООО "СТРОЙ ПРЕСТИЖ"</t>
        </is>
      </c>
      <c r="H73" s="29" t="inlineStr">
        <is>
          <t>Крупнозернистая смесь для плотного асфальтобетона тип Б марка II для нижнегослоя покрытия, паспорт №557 от 12.07.2022 г., сертификат соответствия №RU.МСС.186.366.37071 срок действия с 15.05.2022 по 15.05.2024 г.</t>
        </is>
      </c>
      <c r="I73" s="29" t="inlineStr">
        <is>
          <t>Исполнительная схема № ГП/188 "Устройство слоя из асфальтобетона крупнозернистого под покрытие Тип 11"</t>
        </is>
      </c>
      <c r="J73"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73" s="29" t="inlineStr">
        <is>
          <t>Устройство слоя из песчаного асфальтобетона  Тип 11</t>
        </is>
      </c>
      <c r="L73" s="53" t="inlineStr">
        <is>
          <t>Исполнительная схема № ГП/188 "Устройство слоя из асфальтобетона крупнозернистого под покрытие Тип 11"</t>
        </is>
      </c>
    </row>
    <row r="74" ht="90" customHeight="1">
      <c r="B74" s="27" t="inlineStr">
        <is>
          <t>№ ГП/189</t>
        </is>
      </c>
      <c r="C74" s="2" t="inlineStr">
        <is>
          <t>"16" июля 2022 г.</t>
        </is>
      </c>
      <c r="D74" s="2" t="inlineStr">
        <is>
          <t>"16" июля 2022 г.</t>
        </is>
      </c>
      <c r="E74" s="2" t="inlineStr">
        <is>
          <t>"16" июля 2022 г.</t>
        </is>
      </c>
      <c r="F74" s="34" t="inlineStr">
        <is>
          <t>Устройство слоя из песчаного асфальтобетона   Тип 11</t>
        </is>
      </c>
      <c r="G74" s="29" t="inlineStr">
        <is>
          <t>Шифр 50-19-02-14-ПЗУ. ООО "СТРОЙ ПРЕСТИЖ"</t>
        </is>
      </c>
      <c r="H74" s="29" t="inlineStr">
        <is>
          <t>Песчаная асфальтобетонная смесь тип Д марки II для верхнего слоя покрытия, паспорт №582 от 16.07.2022 г., сертификат соответствия №RU.МСС.186.366.36393 срок действия с 15.04.2021 по 15.04.2023 г.</t>
        </is>
      </c>
      <c r="I74" s="29" t="inlineStr">
        <is>
          <t>Исполнительная схема № ГП/189 "Устройство слоя из песчаного асфальтобетона  Тип 11"</t>
        </is>
      </c>
      <c r="J74"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74" s="29" t="inlineStr">
        <is>
          <t>-</t>
        </is>
      </c>
      <c r="L74" s="53" t="inlineStr">
        <is>
          <t>Исполнительная схема № ГП/189 "Устройство слоя из песчаного асфальтобетона  Тип 11"</t>
        </is>
      </c>
    </row>
    <row r="75" ht="75" customHeight="1">
      <c r="B75" s="27" t="inlineStr">
        <is>
          <t>№ ГП/199</t>
        </is>
      </c>
      <c r="C75" s="2" t="inlineStr">
        <is>
          <t>"30" июня 2022 г.</t>
        </is>
      </c>
      <c r="D75" s="2" t="inlineStr">
        <is>
          <t>"30" июня 2022 г.</t>
        </is>
      </c>
      <c r="E75" s="2" t="inlineStr">
        <is>
          <t>"30" июня 2022 г.</t>
        </is>
      </c>
      <c r="F75" s="28" t="inlineStr">
        <is>
          <t>Устройство бетонной подготовки под водоотводный лоток Anmax.</t>
        </is>
      </c>
      <c r="G75" s="29" t="inlineStr">
        <is>
          <t>Шифр 50-19-02-14-ПЗУ. ООО "СТРОЙ ПРЕСТИЖ"</t>
        </is>
      </c>
      <c r="H75" s="29" t="inlineStr">
        <is>
          <t>БТС В20 П3 F100 W6, документ о качестве бетонной смеси №985 от 30.06.2022 г, документ о качестве бетонной смеси №986 от 30.06.2022 г.</t>
        </is>
      </c>
      <c r="I75" s="29" t="inlineStr">
        <is>
          <t>Исполнительная схема № ГП/199 "Устройство бетонной подготовки под водоотводный лоток."</t>
        </is>
      </c>
      <c r="J75"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75" s="29" t="inlineStr">
        <is>
          <t>Устройство водоотводного лотка.</t>
        </is>
      </c>
      <c r="L75" s="53" t="inlineStr">
        <is>
          <t>Исполнительная схема № ГП/199 "Устройство бетонной подготовки под водоотводный лоток."</t>
        </is>
      </c>
    </row>
    <row r="76" ht="75" customHeight="1">
      <c r="B76" s="27" t="inlineStr">
        <is>
          <t>№ ГП/200</t>
        </is>
      </c>
      <c r="C76" s="2" t="inlineStr">
        <is>
          <t>"09" августа 2022 г.</t>
        </is>
      </c>
      <c r="D76" s="2" t="inlineStr">
        <is>
          <t>"05" августа 2022 г.</t>
        </is>
      </c>
      <c r="E76" s="2" t="inlineStr">
        <is>
          <t>"09" августа 2022 г.</t>
        </is>
      </c>
      <c r="F76" s="28" t="inlineStr">
        <is>
          <t>Устройство водоотводного лотка Anmax.</t>
        </is>
      </c>
      <c r="G76" s="29" t="inlineStr">
        <is>
          <t>Шифр 50-19-02-14-ПЗУ. ООО "СТРОЙ ПРЕСТИЖ"</t>
        </is>
      </c>
      <c r="H76" s="29" t="inlineStr">
        <is>
          <t>Лоток водоотводный бетонный, паспорт №23-06-1 от 23.06.2022 г., сертификат соответствия №РОСС RU C-RU.НВ63.Н08959/21 срок действия с 16.04.2021 по 15.04.2024 г.</t>
        </is>
      </c>
      <c r="I76" s="29" t="inlineStr">
        <is>
          <t>Исполнительная схема № ГП/200 "Устройство водоотводного лотка."</t>
        </is>
      </c>
      <c r="J76"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76" s="29" t="inlineStr">
        <is>
          <t>-</t>
        </is>
      </c>
      <c r="L76" s="53" t="inlineStr">
        <is>
          <t>Исполнительная схема № ГП/200 "Устройство водоотводного лотка."</t>
        </is>
      </c>
    </row>
    <row r="77" ht="84" customHeight="1">
      <c r="B77" s="27" t="inlineStr">
        <is>
          <t>№ ГП/209</t>
        </is>
      </c>
      <c r="C77" s="2" t="inlineStr">
        <is>
          <t>"30" июня 2022 г.</t>
        </is>
      </c>
      <c r="D77" s="2" t="inlineStr">
        <is>
          <t>"01" июня 2022 г.</t>
        </is>
      </c>
      <c r="E77" s="2" t="inlineStr">
        <is>
          <t>"30" июня 2022 г.</t>
        </is>
      </c>
      <c r="F77" s="28" t="inlineStr">
        <is>
          <t>Монтаж бортового камня Бр. 100.20.8.</t>
        </is>
      </c>
      <c r="G77" s="29" t="inlineStr">
        <is>
          <t>Шифр 50-19-02-14-ПЗУ. ООО "СТРОЙ ПРЕСТИЖ"</t>
        </is>
      </c>
      <c r="H77" s="29" t="inlineStr">
        <is>
          <t>Бордюр 1000х200х80, паспорт №б/н, сертификат соответствия №РОСС RU.32396.04НТЦ0.ОС02.00605 срок действия с 10.11.2021 по 09.11.2024 г.; Смесь сухая цементно-песчаная, паспорт качества №55 от 29.04.2022 г., сертификат соответствия №РОСС RU.32001.04ИБФ1.ОСП18.17941 срок действия с 21.03.2022 по 20.03.2025 г.</t>
        </is>
      </c>
      <c r="I77" s="29" t="inlineStr">
        <is>
          <t>Исполнительная схема № ГП/209 "Монтаж бортового камня Бр. 100.20.8."</t>
        </is>
      </c>
      <c r="J77"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77" s="29" t="inlineStr">
        <is>
          <t>-</t>
        </is>
      </c>
      <c r="L77" s="53" t="inlineStr">
        <is>
          <t>Исполнительная схема № ГП/209 "Монтаж бортового камня Бр. 100.20.8."</t>
        </is>
      </c>
    </row>
    <row r="78" ht="84" customHeight="1">
      <c r="B78" s="27" t="inlineStr">
        <is>
          <t>№ ГП/210</t>
        </is>
      </c>
      <c r="C78" s="2" t="inlineStr">
        <is>
          <t>"30" июня 2022 г.</t>
        </is>
      </c>
      <c r="D78" s="2" t="inlineStr">
        <is>
          <t>"01" июня 2022 г.</t>
        </is>
      </c>
      <c r="E78" s="2" t="inlineStr">
        <is>
          <t>"30" июня 2022 г.</t>
        </is>
      </c>
      <c r="F78" s="28" t="inlineStr">
        <is>
          <t>Монтаж бортового камня Бр.100.30.15 .</t>
        </is>
      </c>
      <c r="G78" s="29" t="inlineStr">
        <is>
          <t>Шифр 50-19-02-14-ПЗУ. ООО "СТРОЙ ПРЕСТИЖ"</t>
        </is>
      </c>
      <c r="H78" s="29" t="inlineStr">
        <is>
          <t>Бордюр 1000х300х150, паспорт №б/н, сертификат соответствия №РОСС RU.32396.04НТЦ0.ОС02.00605 срок действия с 10.11.2021 по 09.11.2024 г.; Смесь сухая цементно-песчаная, паспорт качества №55 от 29.04.2022 г., сертификат соответствия №РОСС RU.32001.04ИБФ1.ОСП18.17941 срок действия с 21.03.2022 по 20.03.2025 г.</t>
        </is>
      </c>
      <c r="I78" s="29" t="inlineStr">
        <is>
          <t>Исполнительная схема № ГП/210 "Монтаж бортового камня Бр.100.30.15 ."</t>
        </is>
      </c>
      <c r="J78"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78" s="29" t="inlineStr">
        <is>
          <t>-</t>
        </is>
      </c>
      <c r="L78" s="53" t="inlineStr">
        <is>
          <t>Исполнительная схема № ГП/210 "Монтаж бортового камня Бр.100.30.15 ."</t>
        </is>
      </c>
    </row>
    <row r="79" ht="84" customHeight="1">
      <c r="B79" s="27" t="inlineStr">
        <is>
          <t>№ ГП/211</t>
        </is>
      </c>
      <c r="C79" s="2" t="inlineStr">
        <is>
          <t>"30" июня 2022 г.</t>
        </is>
      </c>
      <c r="D79" s="2" t="inlineStr">
        <is>
          <t>"01" июня 2022 г.</t>
        </is>
      </c>
      <c r="E79" s="2" t="inlineStr">
        <is>
          <t>"30" июня 2022 г.</t>
        </is>
      </c>
      <c r="F79" s="28" t="inlineStr">
        <is>
          <t>Монтаж прямоугольного камня стыковочного Кс.100.20.8</t>
        </is>
      </c>
      <c r="G79" s="29" t="inlineStr">
        <is>
          <t>Шифр 50-19-02-14-ПЗУ. ООО "СТРОЙ ПРЕСТИЖ"</t>
        </is>
      </c>
      <c r="H79" s="29" t="inlineStr">
        <is>
          <t>Камень стыковочный 1000х200х80, паспорт №б/н, сертификат соответствия №РОСС RU.32396.04НТЦ0.ОС02.00605 срок действия с 10.11.2021 по 09.11.2024 г.; Смесь сухая цементно-песчаная, паспорт качества №55 от 29.04.2022 г., сертификат соответствия №РОСС RU.32001.04ИБФ1.ОСП18.17941 срок действия с 21.03.2022 по 20.03.2025 г.</t>
        </is>
      </c>
      <c r="I79" s="29" t="inlineStr">
        <is>
          <t>Исполнительная схема № ГП/211 "Монтаж прямоугольного камня стыковочного Кс.100.20.8"</t>
        </is>
      </c>
      <c r="J79" s="30" t="inlineStr">
        <is>
          <t>СП 82.13330.2016 "Благоустройство территорий", СП 48.13330.2019 "Организация строительства. Актуализированная редакция СНиП 12-01-2004 (с Изменениями №1)", Шифр 50-19-02-14-ПЗУ. ООО "СТРОЙ ПРЕСТИЖ"</t>
        </is>
      </c>
      <c r="K79" s="29" t="inlineStr">
        <is>
          <t>-</t>
        </is>
      </c>
      <c r="L79" s="53" t="inlineStr">
        <is>
          <t>Исполнительная схема № ГП/211 "Монтаж прямоугольного камня стыковочного Кс.100.20.8"</t>
        </is>
      </c>
    </row>
  </sheetData>
  <pageMargins left="0.7" right="0.7" top="0.75" bottom="0.75" header="0.3" footer="0.3"/>
  <tableParts count="1">
    <tablePart r:id="rId1"/>
  </tableParts>
</worksheet>
</file>

<file path=xl/worksheets/sheet7.xml><?xml version="1.0" encoding="utf-8"?>
<worksheet xmlns="http://schemas.openxmlformats.org/spreadsheetml/2006/main">
  <sheetPr codeName="Лист5">
    <outlinePr summaryBelow="1" summaryRight="1"/>
    <pageSetUpPr/>
  </sheetPr>
  <dimension ref="A1:L10"/>
  <sheetViews>
    <sheetView workbookViewId="0">
      <selection activeCell="O6" sqref="O6"/>
    </sheetView>
  </sheetViews>
  <sheetFormatPr baseColWidth="10" defaultRowHeight="16"/>
  <cols>
    <col width="9" customWidth="1" min="1" max="1"/>
    <col width="17.83203125" customWidth="1" min="2" max="2"/>
    <col width="18.33203125" customWidth="1" min="3" max="3"/>
    <col width="18.33203125" customWidth="1" min="5" max="5"/>
    <col width="48.1640625" customWidth="1" min="6" max="6"/>
    <col width="19.33203125" customWidth="1" min="7" max="7"/>
    <col width="46.83203125" customWidth="1" min="8" max="8"/>
    <col width="42" customWidth="1" min="9" max="9"/>
    <col width="48.33203125" customWidth="1" min="10" max="10"/>
    <col width="43.6640625" customWidth="1" min="11" max="11"/>
    <col width="44.5" customWidth="1" min="12" max="12"/>
  </cols>
  <sheetData>
    <row r="1" ht="68" customHeight="1">
      <c r="A1" s="26" t="inlineStr">
        <is>
          <t>ИД</t>
        </is>
      </c>
      <c r="B1" s="35" t="inlineStr">
        <is>
          <t>№ акта</t>
        </is>
      </c>
      <c r="C1" s="26" t="inlineStr">
        <is>
          <t>дата акта</t>
        </is>
      </c>
      <c r="D1" s="26" t="inlineStr">
        <is>
          <t>5. Дата начала</t>
        </is>
      </c>
      <c r="E1" s="26" t="inlineStr">
        <is>
          <t>5. Дата окончания</t>
        </is>
      </c>
      <c r="F1" s="26" t="inlineStr">
        <is>
          <t>1. К освидетельствованию предъявлены следующие работы:</t>
        </is>
      </c>
      <c r="G1" s="26" t="inlineStr">
        <is>
          <t xml:space="preserve">2. Работы выполнены по проектной документации: </t>
        </is>
      </c>
      <c r="H1" s="26" t="inlineStr">
        <is>
          <t>3. При выполнении работ применены:</t>
        </is>
      </c>
      <c r="I1" s="26" t="inlineStr">
        <is>
          <t>4. Предъявлены документы</t>
        </is>
      </c>
      <c r="J1" s="26" t="inlineStr">
        <is>
          <t>6. Работы выполнены в соответствии с</t>
        </is>
      </c>
      <c r="K1" s="26" t="inlineStr">
        <is>
          <t>7. Разрешается производство последующих работ по</t>
        </is>
      </c>
      <c r="L1" s="26" t="inlineStr">
        <is>
          <t>Приложения</t>
        </is>
      </c>
    </row>
    <row r="2" ht="90" customHeight="1">
      <c r="A2" s="1" t="inlineStr">
        <is>
          <t>ИД</t>
        </is>
      </c>
      <c r="B2" s="27" t="n">
        <v>1</v>
      </c>
      <c r="C2" s="2" t="inlineStr">
        <is>
          <t>"03" июня 2022 г.</t>
        </is>
      </c>
      <c r="D2" s="2" t="inlineStr">
        <is>
          <t>"01" июня 2022 г.</t>
        </is>
      </c>
      <c r="E2" s="2" t="inlineStr">
        <is>
          <t>"03" июня 2022 г.</t>
        </is>
      </c>
      <c r="F2" s="28" t="inlineStr">
        <is>
          <t>Разработка грунта под покрытие Тип 1</t>
        </is>
      </c>
      <c r="G2" s="29" t="inlineStr">
        <is>
          <t>Шифр 50-19-02-14-ПЗУ. ООО "СТРОЙ ПРЕСТИЖ"</t>
        </is>
      </c>
      <c r="H2" s="29" t="inlineStr">
        <is>
          <t xml:space="preserve">Полотно нетканое геотекстильное (Дорнит) марки ГИДРОСПАН 400/4,20, паспорт качества №108 от 10.05.2022 г., </t>
        </is>
      </c>
      <c r="I2" s="29" t="inlineStr">
        <is>
          <t>Исполнительная схема№ ГП/115 "Разработка грунта под покрытие Тип 1"</t>
        </is>
      </c>
      <c r="J2"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2" s="29" t="inlineStr">
        <is>
          <t>Устройство геотекстиля под покрытие Тип 1</t>
        </is>
      </c>
      <c r="L2" s="29" t="inlineStr">
        <is>
          <t>Исполнительная схема№ ГП/115 "Разработка грунта под покрытие Тип 1"</t>
        </is>
      </c>
    </row>
    <row r="3" ht="90" customHeight="1">
      <c r="B3" s="27" t="n">
        <v>2</v>
      </c>
      <c r="C3" s="2" t="inlineStr">
        <is>
          <t>"06" июня 2022 г.</t>
        </is>
      </c>
      <c r="D3" s="2" t="inlineStr">
        <is>
          <t>"03" июня 2022 г.</t>
        </is>
      </c>
      <c r="E3" s="2" t="inlineStr">
        <is>
          <t>"06" июня 2022 г.</t>
        </is>
      </c>
      <c r="F3" s="28" t="inlineStr">
        <is>
          <t>Устройство слоя геотекстиля под покрытие Тип 1</t>
        </is>
      </c>
      <c r="G3" s="29" t="inlineStr">
        <is>
          <t>Шифр 50-19-02-14-ПЗУ. ООО "СТРОЙ ПРЕСТИЖ"</t>
        </is>
      </c>
      <c r="H3" s="29" t="inlineStr">
        <is>
          <t xml:space="preserve">Полотно нетканое геотекстильное (Дорнит) марки ГИДРОСПАН 400/4,20, паспорт качества №108 от 10.05.2022 г., </t>
        </is>
      </c>
      <c r="I3" s="29" t="inlineStr">
        <is>
          <t>Исполнительная схема№ ГП/116 "Устройство слоя геотекстиля под покрытие Тип 1"</t>
        </is>
      </c>
      <c r="J3"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3" s="29" t="inlineStr">
        <is>
          <t>Устройство слоя песка под покрытие Тип 1</t>
        </is>
      </c>
      <c r="L3" s="29" t="inlineStr">
        <is>
          <t>Исполнительная схема№ ГП/116 "Устройство слоя геотекстиля под покрытие Тип 1"</t>
        </is>
      </c>
    </row>
    <row r="4" ht="90" customHeight="1">
      <c r="B4" s="27" t="n">
        <v>3</v>
      </c>
      <c r="C4" s="2" t="inlineStr">
        <is>
          <t>"07" июня 2022 г.</t>
        </is>
      </c>
      <c r="D4" s="2" t="inlineStr">
        <is>
          <t>"06" июня 2022 г.</t>
        </is>
      </c>
      <c r="E4" s="2" t="inlineStr">
        <is>
          <t>"07" июня 2022 г.</t>
        </is>
      </c>
      <c r="F4" s="28" t="inlineStr">
        <is>
          <t>Устройство слоя песка под покрытие Тип 1</t>
        </is>
      </c>
      <c r="G4" s="29" t="inlineStr">
        <is>
          <t>Шифр 50-19-02-14-ПЗУ. ООО "СТРОЙ ПРЕСТИЖ"</t>
        </is>
      </c>
      <c r="H4" s="31" t="inlineStr">
        <is>
          <t>Песок природный для строительных работ, паспорт №1/21 от 16.04.2022 г., сертификат соответствия №РОСС RU.НВ61.Н02148 срок действия с 10.03.2020 по 09.03.2023 г.</t>
        </is>
      </c>
      <c r="I4" s="29" t="inlineStr">
        <is>
          <t>Исполнительная схема№ ГП/117 "Устройство слоя песка под покрытие Тип 1"</t>
        </is>
      </c>
      <c r="J4"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4" s="29" t="inlineStr">
        <is>
          <t>Устройство геотекстиля под покрытие Тип 1</t>
        </is>
      </c>
      <c r="L4" s="29" t="inlineStr">
        <is>
          <t>Исполнительная схема№ ГП/117 "Устройство слоя песка под покрытие Тип 1"</t>
        </is>
      </c>
    </row>
    <row r="5" ht="90" customHeight="1">
      <c r="B5" s="27" t="n">
        <v>4</v>
      </c>
      <c r="C5" s="2" t="inlineStr">
        <is>
          <t>"08" июня 2022 г.</t>
        </is>
      </c>
      <c r="D5" s="2" t="inlineStr">
        <is>
          <t>"07" июня 2022 г.</t>
        </is>
      </c>
      <c r="E5" s="2" t="inlineStr">
        <is>
          <t>"08" июня 2022 г.</t>
        </is>
      </c>
      <c r="F5" s="28" t="inlineStr">
        <is>
          <t>Устройство слоя геотекстиля под покрытие Тип 1</t>
        </is>
      </c>
      <c r="G5" s="29" t="inlineStr">
        <is>
          <t>Шифр 50-19-02-14-ПЗУ. ООО "СТРОЙ ПРЕСТИЖ"</t>
        </is>
      </c>
      <c r="H5" s="29" t="inlineStr">
        <is>
          <t xml:space="preserve">Полотно нетканое геотекстильное (Дорнит) марки ГИДРОСПАН 400/4,20, паспорт качества №108 от 10.05.2022 г., </t>
        </is>
      </c>
      <c r="I5" s="29" t="inlineStr">
        <is>
          <t>Исполнительная схема№ ГП/118 "Устройство слоя геотекстиля под покрытие Тип 1"</t>
        </is>
      </c>
      <c r="J5"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5" s="29" t="inlineStr">
        <is>
          <t>Устройство слоя из щебня 40-60 под покрытие Тип 1</t>
        </is>
      </c>
      <c r="L5" s="29" t="inlineStr">
        <is>
          <t>Исполнительная схема№ ГП/118 "Устройство слоя геотекстиля под покрытие Тип 1"</t>
        </is>
      </c>
    </row>
    <row r="6" ht="90" customHeight="1">
      <c r="B6" s="27" t="n">
        <v>5</v>
      </c>
      <c r="C6" s="2" t="inlineStr">
        <is>
          <t>"10" июня 2022 г.</t>
        </is>
      </c>
      <c r="D6" s="2" t="inlineStr">
        <is>
          <t>"08" июня 2022 г.</t>
        </is>
      </c>
      <c r="E6" s="2" t="inlineStr">
        <is>
          <t>"10" июня 2022 г.</t>
        </is>
      </c>
      <c r="F6" s="28" t="inlineStr">
        <is>
          <t>Устройство слоя из щебня 40-60 под покрытие Тип 1</t>
        </is>
      </c>
      <c r="G6" s="29" t="inlineStr">
        <is>
          <t>Шифр 50-19-02-14-ПЗУ. ООО "СТРОЙ ПРЕСТИЖ"</t>
        </is>
      </c>
      <c r="H6" s="29" t="inlineStr">
        <is>
          <t>Паспорт качества на щебень известняковый фракции 40-70, паспорт №б/н от 27.02.2022 г., Сертификат соответствия №РОСС.RU.АГ25.Н12101 срок действия с 17.12.2021 по 16.12.2024 г.</t>
        </is>
      </c>
      <c r="I6" s="29" t="inlineStr">
        <is>
          <t>Исполнительная схема№ ГП/119 "Устройство слоя из щебня 40-60 под покрытие Тип 1"</t>
        </is>
      </c>
      <c r="J6"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6" s="29" t="inlineStr">
        <is>
          <t>Устройство слоя из щебня 20-40 под покрытие Тип 1</t>
        </is>
      </c>
      <c r="L6" s="29" t="inlineStr">
        <is>
          <t>Исполнительная схема№ ГП/119 "Устройство слоя из щебня 40-60 под покрытие Тип 1"</t>
        </is>
      </c>
    </row>
    <row r="7" ht="90" customHeight="1">
      <c r="B7" s="27" t="n">
        <v>6</v>
      </c>
      <c r="C7" s="2" t="inlineStr">
        <is>
          <t>"13" июня 2022 г.</t>
        </is>
      </c>
      <c r="D7" s="2" t="inlineStr">
        <is>
          <t>"10" июня 2022 г.</t>
        </is>
      </c>
      <c r="E7" s="2" t="inlineStr">
        <is>
          <t>"13" июня 2022 г.</t>
        </is>
      </c>
      <c r="F7" s="32" t="inlineStr">
        <is>
          <t>Устройство слоя из щебня 20-40 под покрытие Тип 1</t>
        </is>
      </c>
      <c r="G7" s="29" t="inlineStr">
        <is>
          <t>Шифр 50-19-02-14-ПЗУ. ООО "СТРОЙ ПРЕСТИЖ"</t>
        </is>
      </c>
      <c r="H7" s="25" t="inlineStr">
        <is>
          <t>Щебень известняковый фракции 20-40, паспорт качества №б/н от 27.02.2022 г., Сертификат соответствия №РОСС.RU.АГ25.Н12101 срок действия с 17.12.2021 по 16.12.2024 г.</t>
        </is>
      </c>
      <c r="I7" s="25" t="inlineStr">
        <is>
          <t>Исполнительная схема№ ГП/120 "Устройство слоя из щебня 20-40 под покрытие Тип 1"</t>
        </is>
      </c>
      <c r="J7"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7" s="30" t="inlineStr">
        <is>
          <t>Устройство слоя из битума под покрытие Тип 1</t>
        </is>
      </c>
      <c r="L7" s="25" t="inlineStr">
        <is>
          <t>Исполнительная схема№ ГП/120 "Устройство слоя из щебня 20-40 под покрытие Тип 1"</t>
        </is>
      </c>
    </row>
    <row r="8" ht="90" customHeight="1">
      <c r="B8" s="27" t="n">
        <v>7</v>
      </c>
      <c r="C8" s="2" t="inlineStr">
        <is>
          <t>"15" июня 2022 г.</t>
        </is>
      </c>
      <c r="D8" s="2" t="inlineStr">
        <is>
          <t>"13" июня 2022 г.</t>
        </is>
      </c>
      <c r="E8" s="2" t="inlineStr">
        <is>
          <t>"15" июня 2022 г.</t>
        </is>
      </c>
      <c r="F8" s="32" t="inlineStr">
        <is>
          <t>Устройство слоя из битума под покрытие Тип 1</t>
        </is>
      </c>
      <c r="G8" s="29" t="inlineStr">
        <is>
          <t>Шифр 50-19-02-14-ПЗУ. ООО "СТРОЙ ПРЕСТИЖ"</t>
        </is>
      </c>
      <c r="H8" s="25" t="inlineStr">
        <is>
          <t>Битум нефтяной, паспорт продукции №90-1-08-14 от 03.06.2022 г., декларация о соответствии №ЕАЭС N RU Д-RU.АИ16.В.03915 срок действия с 02.03.2018 по 01.03.2023 г.</t>
        </is>
      </c>
      <c r="I8" s="25" t="inlineStr">
        <is>
          <t>Исполнительная схема№ ГП/121 "Устройство слоя из битума под покрытие Тип 1"</t>
        </is>
      </c>
      <c r="J8"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8" s="30" t="inlineStr">
        <is>
          <t>Устройство слоя из асфальтобетона крупнозернистого под покрытие Тип 1</t>
        </is>
      </c>
      <c r="L8" s="25" t="inlineStr">
        <is>
          <t>Исполнительная схема№ ГП/121 "Устройство слоя из битума под покрытие Тип 1"</t>
        </is>
      </c>
    </row>
    <row r="9" ht="90" customHeight="1">
      <c r="B9" s="27" t="n">
        <v>8</v>
      </c>
      <c r="C9" s="2" t="inlineStr">
        <is>
          <t>"15" июня 2022 г.</t>
        </is>
      </c>
      <c r="D9" s="2" t="inlineStr">
        <is>
          <t>"15" июня 2022 г.</t>
        </is>
      </c>
      <c r="E9" s="2" t="inlineStr">
        <is>
          <t>"15" июня 2022 г.</t>
        </is>
      </c>
      <c r="F9" s="33" t="inlineStr">
        <is>
          <t>Устройство слоя из асфальтобетона крупнозернистого под покрытие Тип 1</t>
        </is>
      </c>
      <c r="G9" s="29" t="inlineStr">
        <is>
          <t>Шифр 50-19-02-14-ПЗУ. ООО "СТРОЙ ПРЕСТИЖ"</t>
        </is>
      </c>
      <c r="H9" s="25" t="inlineStr">
        <is>
          <t>Крупнозернистая смесь для плотного асфальтобетоа тип Б марка II для нижнего слоя покрытия, паспорт №580 от 15.06.2022 г.</t>
        </is>
      </c>
      <c r="I9" s="25" t="inlineStr">
        <is>
          <t>Исполнительная схема№ ГП/122 "Устройство слоя из асфальтобетона крупнозернистого под покрытие Тип 1"</t>
        </is>
      </c>
      <c r="J9"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9" s="30" t="inlineStr">
        <is>
          <t>Устройство слоя из песчаного асфальтобетона Тип 1</t>
        </is>
      </c>
      <c r="L9" s="25" t="inlineStr">
        <is>
          <t>Исполнительная схема№ ГП/122 "Устройство слоя из асфальтобетона крупнозернистого под покрытие Тип 1"</t>
        </is>
      </c>
    </row>
    <row r="10" ht="90" customHeight="1">
      <c r="B10" s="27" t="n">
        <v>8</v>
      </c>
      <c r="C10" s="2" t="inlineStr">
        <is>
          <t>"27" июня 2022 г.</t>
        </is>
      </c>
      <c r="D10" s="2" t="inlineStr">
        <is>
          <t>"27" июня 2022 г.</t>
        </is>
      </c>
      <c r="E10" s="2" t="inlineStr">
        <is>
          <t>"27" июня 2022 г.</t>
        </is>
      </c>
      <c r="F10" s="33" t="inlineStr">
        <is>
          <t>Устройство слоя из песчаного асфальтобетона Тип 1</t>
        </is>
      </c>
      <c r="G10" s="29" t="inlineStr">
        <is>
          <t>Шифр 50-19-02-14-ПЗУ. ООО "СТРОЙ ПРЕСТИЖ"</t>
        </is>
      </c>
      <c r="H10" s="25" t="inlineStr">
        <is>
          <t>Песчаная асфальтобетонная смесь тип Д марки II для верхнего слоя покрытия, паспорт №636 от 27.06.2022 г., сертификат соответствия №RU.МСС.186.366.36393 срок действия с 15.04.2021 по 15.04.2023 г.</t>
        </is>
      </c>
      <c r="I10" s="25" t="inlineStr">
        <is>
          <t>Исполнительная схема№ ГП/123 "Устройство слоя из песчаного асфальтобетона Тип 1"</t>
        </is>
      </c>
      <c r="J10" s="30" t="inlineStr">
        <is>
          <t>СП 82.13330.2016 "Благоустройство территорий", СП 78.13330.2012 "Автомобильные дороги", СП 48.13330.2019 "Организация строительства. Актуализированная редакция СНиП 12-01-2004 (с Изменениями №1)", Шифр 50-19-02-14-ПЗУ. ООО "СТРОЙ ПРЕСТИЖ"</t>
        </is>
      </c>
      <c r="K10" s="30" t="inlineStr">
        <is>
          <t>-</t>
        </is>
      </c>
      <c r="L10" s="25" t="inlineStr">
        <is>
          <t>Исполнительная схема№ ГП/123 "Устройство слоя из песчаного асфальтобетона Тип 1"</t>
        </is>
      </c>
    </row>
  </sheetData>
  <autoFilter ref="A1:L1"/>
  <pageMargins left="0.7" right="0.7" top="0.75" bottom="0.75" header="0.3" footer="0.3"/>
</worksheet>
</file>

<file path=xl/worksheets/sheet8.xml><?xml version="1.0" encoding="utf-8"?>
<worksheet xmlns="http://schemas.openxmlformats.org/spreadsheetml/2006/main">
  <sheetPr codeName="Лист6">
    <outlinePr summaryBelow="1" summaryRight="1"/>
    <pageSetUpPr/>
  </sheetPr>
  <dimension ref="A3:F35"/>
  <sheetViews>
    <sheetView workbookViewId="0">
      <selection activeCell="B4" sqref="B4"/>
    </sheetView>
  </sheetViews>
  <sheetFormatPr baseColWidth="10" defaultRowHeight="16"/>
  <cols>
    <col width="17.1640625" bestFit="1" customWidth="1" min="1" max="1"/>
    <col width="74.83203125" bestFit="1" customWidth="1" min="2" max="2"/>
    <col width="54.33203125" bestFit="1" customWidth="1" min="3" max="3"/>
    <col width="45" bestFit="1" customWidth="1" min="4" max="4"/>
    <col width="22.33203125" bestFit="1" customWidth="1" min="5" max="5"/>
    <col width="36" bestFit="1" customWidth="1" min="6" max="6"/>
    <col width="22.33203125" bestFit="1" customWidth="1" min="7" max="7"/>
  </cols>
  <sheetData>
    <row r="3">
      <c r="A3" s="51" t="inlineStr">
        <is>
          <t>Названия строк</t>
        </is>
      </c>
      <c r="B3" t="inlineStr">
        <is>
          <t>Количество по полю 1. К освидетельствованию предъявлены следующие работы:</t>
        </is>
      </c>
      <c r="C3" t="inlineStr">
        <is>
          <t>Количество по полю 3. При выполнении работ применены:</t>
        </is>
      </c>
      <c r="D3" t="inlineStr">
        <is>
          <t>Количество по полю 4. Предъявлены документы</t>
        </is>
      </c>
      <c r="E3" t="inlineStr">
        <is>
          <t>Количество по полю ИД</t>
        </is>
      </c>
      <c r="F3" t="inlineStr">
        <is>
          <t>Количество по полю 5. Дата окончания</t>
        </is>
      </c>
    </row>
    <row r="4">
      <c r="A4" s="52" t="inlineStr">
        <is>
          <t>Л-1</t>
        </is>
      </c>
      <c r="B4" t="n">
        <v>1</v>
      </c>
      <c r="C4" t="n">
        <v>1</v>
      </c>
      <c r="D4" t="n">
        <v>1</v>
      </c>
      <c r="E4" t="n">
        <v>1</v>
      </c>
      <c r="F4" t="n">
        <v>1</v>
      </c>
    </row>
    <row r="5">
      <c r="A5" s="52" t="inlineStr">
        <is>
          <t>Л-10</t>
        </is>
      </c>
      <c r="B5" t="n">
        <v>1</v>
      </c>
      <c r="C5" t="n">
        <v>1</v>
      </c>
      <c r="D5" t="n">
        <v>1</v>
      </c>
      <c r="F5" t="n">
        <v>1</v>
      </c>
    </row>
    <row r="6">
      <c r="A6" s="52" t="inlineStr">
        <is>
          <t>Л-11</t>
        </is>
      </c>
      <c r="B6" t="n">
        <v>1</v>
      </c>
      <c r="C6" t="n">
        <v>1</v>
      </c>
      <c r="D6" t="n">
        <v>1</v>
      </c>
      <c r="F6" t="n">
        <v>1</v>
      </c>
    </row>
    <row r="7">
      <c r="A7" s="52" t="inlineStr">
        <is>
          <t>Л-12</t>
        </is>
      </c>
      <c r="B7" t="n">
        <v>1</v>
      </c>
      <c r="C7" t="n">
        <v>1</v>
      </c>
      <c r="D7" t="n">
        <v>1</v>
      </c>
      <c r="F7" t="n">
        <v>1</v>
      </c>
    </row>
    <row r="8">
      <c r="A8" s="52" t="inlineStr">
        <is>
          <t>Л-13</t>
        </is>
      </c>
      <c r="B8" t="n">
        <v>1</v>
      </c>
      <c r="C8" t="n">
        <v>1</v>
      </c>
      <c r="D8" t="n">
        <v>1</v>
      </c>
      <c r="F8" t="n">
        <v>1</v>
      </c>
    </row>
    <row r="9">
      <c r="A9" s="52" t="inlineStr">
        <is>
          <t>Л-14</t>
        </is>
      </c>
      <c r="B9" t="n">
        <v>1</v>
      </c>
      <c r="C9" t="n">
        <v>1</v>
      </c>
      <c r="D9" t="n">
        <v>1</v>
      </c>
      <c r="F9" t="n">
        <v>1</v>
      </c>
    </row>
    <row r="10">
      <c r="A10" s="52" t="inlineStr">
        <is>
          <t>Л-15</t>
        </is>
      </c>
      <c r="B10" t="n">
        <v>1</v>
      </c>
      <c r="C10" t="n">
        <v>1</v>
      </c>
      <c r="D10" t="n">
        <v>1</v>
      </c>
      <c r="F10" t="n">
        <v>1</v>
      </c>
    </row>
    <row r="11">
      <c r="A11" s="52" t="inlineStr">
        <is>
          <t>Л-16</t>
        </is>
      </c>
      <c r="B11" t="n">
        <v>1</v>
      </c>
      <c r="C11" t="n">
        <v>1</v>
      </c>
      <c r="D11" t="n">
        <v>1</v>
      </c>
      <c r="F11" t="n">
        <v>1</v>
      </c>
    </row>
    <row r="12">
      <c r="A12" s="52" t="inlineStr">
        <is>
          <t>Л-17</t>
        </is>
      </c>
      <c r="B12" t="n">
        <v>1</v>
      </c>
      <c r="C12" t="n">
        <v>1</v>
      </c>
      <c r="D12" t="n">
        <v>1</v>
      </c>
      <c r="F12" t="n">
        <v>1</v>
      </c>
    </row>
    <row r="13">
      <c r="A13" s="52" t="inlineStr">
        <is>
          <t>Л-18</t>
        </is>
      </c>
      <c r="B13" t="n">
        <v>1</v>
      </c>
      <c r="C13" t="n">
        <v>1</v>
      </c>
      <c r="D13" t="n">
        <v>1</v>
      </c>
      <c r="F13" t="n">
        <v>1</v>
      </c>
    </row>
    <row r="14">
      <c r="A14" s="52" t="inlineStr">
        <is>
          <t>Л-19</t>
        </is>
      </c>
      <c r="B14" t="n">
        <v>1</v>
      </c>
      <c r="C14" t="n">
        <v>1</v>
      </c>
      <c r="D14" t="n">
        <v>1</v>
      </c>
      <c r="F14" t="n">
        <v>1</v>
      </c>
    </row>
    <row r="15">
      <c r="A15" s="52" t="inlineStr">
        <is>
          <t>Л-2</t>
        </is>
      </c>
      <c r="B15" t="n">
        <v>1</v>
      </c>
      <c r="C15" t="n">
        <v>1</v>
      </c>
      <c r="D15" t="n">
        <v>1</v>
      </c>
      <c r="F15" t="n">
        <v>1</v>
      </c>
    </row>
    <row r="16">
      <c r="A16" s="52" t="inlineStr">
        <is>
          <t>Л-20</t>
        </is>
      </c>
      <c r="B16" t="n">
        <v>1</v>
      </c>
      <c r="C16" t="n">
        <v>1</v>
      </c>
      <c r="D16" t="n">
        <v>1</v>
      </c>
      <c r="F16" t="n">
        <v>1</v>
      </c>
    </row>
    <row r="17">
      <c r="A17" s="52" t="inlineStr">
        <is>
          <t>Л-21</t>
        </is>
      </c>
      <c r="B17" t="n">
        <v>1</v>
      </c>
      <c r="C17" t="n">
        <v>1</v>
      </c>
      <c r="D17" t="n">
        <v>1</v>
      </c>
      <c r="F17" t="n">
        <v>1</v>
      </c>
    </row>
    <row r="18">
      <c r="A18" s="52" t="inlineStr">
        <is>
          <t>Л-22</t>
        </is>
      </c>
      <c r="B18" t="n">
        <v>1</v>
      </c>
      <c r="C18" t="n">
        <v>1</v>
      </c>
      <c r="D18" t="n">
        <v>1</v>
      </c>
      <c r="F18" t="n">
        <v>1</v>
      </c>
    </row>
    <row r="19">
      <c r="A19" s="52" t="inlineStr">
        <is>
          <t>Л-23</t>
        </is>
      </c>
      <c r="B19" t="n">
        <v>1</v>
      </c>
      <c r="C19" t="n">
        <v>1</v>
      </c>
      <c r="D19" t="n">
        <v>1</v>
      </c>
      <c r="F19" t="n">
        <v>1</v>
      </c>
    </row>
    <row r="20">
      <c r="A20" s="52" t="inlineStr">
        <is>
          <t>Л-24</t>
        </is>
      </c>
      <c r="B20" t="n">
        <v>1</v>
      </c>
      <c r="C20" t="n">
        <v>1</v>
      </c>
      <c r="D20" t="n">
        <v>1</v>
      </c>
      <c r="F20" t="n">
        <v>1</v>
      </c>
    </row>
    <row r="21">
      <c r="A21" s="52" t="inlineStr">
        <is>
          <t>Л-25</t>
        </is>
      </c>
      <c r="B21" t="n">
        <v>1</v>
      </c>
      <c r="C21" t="n">
        <v>1</v>
      </c>
      <c r="D21" t="n">
        <v>1</v>
      </c>
      <c r="F21" t="n">
        <v>1</v>
      </c>
    </row>
    <row r="22">
      <c r="A22" s="52" t="inlineStr">
        <is>
          <t>Л-26</t>
        </is>
      </c>
      <c r="B22" t="n">
        <v>1</v>
      </c>
      <c r="C22" t="n">
        <v>1</v>
      </c>
      <c r="D22" t="n">
        <v>1</v>
      </c>
      <c r="F22" t="n">
        <v>1</v>
      </c>
    </row>
    <row r="23">
      <c r="A23" s="52" t="inlineStr">
        <is>
          <t>Л-27</t>
        </is>
      </c>
      <c r="B23" t="n">
        <v>1</v>
      </c>
      <c r="C23" t="n">
        <v>1</v>
      </c>
      <c r="D23" t="n">
        <v>1</v>
      </c>
      <c r="F23" t="n">
        <v>1</v>
      </c>
    </row>
    <row r="24">
      <c r="A24" s="52" t="inlineStr">
        <is>
          <t>Л-28</t>
        </is>
      </c>
      <c r="B24" t="n">
        <v>1</v>
      </c>
      <c r="C24" t="n">
        <v>1</v>
      </c>
      <c r="D24" t="n">
        <v>1</v>
      </c>
      <c r="F24" t="n">
        <v>1</v>
      </c>
    </row>
    <row r="25">
      <c r="A25" s="52" t="inlineStr">
        <is>
          <t>Л-29</t>
        </is>
      </c>
      <c r="B25" t="n">
        <v>1</v>
      </c>
      <c r="C25" t="n">
        <v>1</v>
      </c>
      <c r="D25" t="n">
        <v>1</v>
      </c>
      <c r="F25" t="n">
        <v>1</v>
      </c>
    </row>
    <row r="26">
      <c r="A26" s="52" t="inlineStr">
        <is>
          <t>Л-3</t>
        </is>
      </c>
      <c r="B26" t="n">
        <v>1</v>
      </c>
      <c r="C26" t="n">
        <v>1</v>
      </c>
      <c r="D26" t="n">
        <v>1</v>
      </c>
      <c r="F26" t="n">
        <v>1</v>
      </c>
    </row>
    <row r="27">
      <c r="A27" s="52" t="inlineStr">
        <is>
          <t>Л-30</t>
        </is>
      </c>
      <c r="B27" t="n">
        <v>1</v>
      </c>
      <c r="C27" t="n">
        <v>1</v>
      </c>
      <c r="D27" t="n">
        <v>1</v>
      </c>
      <c r="F27" t="n">
        <v>1</v>
      </c>
    </row>
    <row r="28">
      <c r="A28" s="52" t="inlineStr">
        <is>
          <t>Л-31</t>
        </is>
      </c>
      <c r="B28" t="n">
        <v>1</v>
      </c>
      <c r="C28" t="n">
        <v>1</v>
      </c>
      <c r="D28" t="n">
        <v>1</v>
      </c>
      <c r="F28" t="n">
        <v>1</v>
      </c>
    </row>
    <row r="29">
      <c r="A29" s="52" t="inlineStr">
        <is>
          <t>Л-4</t>
        </is>
      </c>
      <c r="B29" t="n">
        <v>1</v>
      </c>
      <c r="C29" t="n">
        <v>1</v>
      </c>
      <c r="D29" t="n">
        <v>1</v>
      </c>
      <c r="F29" t="n">
        <v>1</v>
      </c>
    </row>
    <row r="30">
      <c r="A30" s="52" t="inlineStr">
        <is>
          <t>Л-5</t>
        </is>
      </c>
      <c r="B30" t="n">
        <v>1</v>
      </c>
      <c r="C30" t="n">
        <v>1</v>
      </c>
      <c r="D30" t="n">
        <v>1</v>
      </c>
      <c r="F30" t="n">
        <v>1</v>
      </c>
    </row>
    <row r="31">
      <c r="A31" s="52" t="inlineStr">
        <is>
          <t>Л-6</t>
        </is>
      </c>
      <c r="B31" t="n">
        <v>1</v>
      </c>
      <c r="C31" t="n">
        <v>1</v>
      </c>
      <c r="D31" t="n">
        <v>1</v>
      </c>
      <c r="F31" t="n">
        <v>1</v>
      </c>
    </row>
    <row r="32">
      <c r="A32" s="52" t="inlineStr">
        <is>
          <t>Л-7</t>
        </is>
      </c>
      <c r="B32" t="n">
        <v>1</v>
      </c>
      <c r="C32" t="n">
        <v>1</v>
      </c>
      <c r="D32" t="n">
        <v>1</v>
      </c>
      <c r="F32" t="n">
        <v>1</v>
      </c>
    </row>
    <row r="33">
      <c r="A33" s="52" t="inlineStr">
        <is>
          <t>Л-8</t>
        </is>
      </c>
      <c r="B33" t="n">
        <v>1</v>
      </c>
      <c r="C33" t="n">
        <v>1</v>
      </c>
      <c r="D33" t="n">
        <v>1</v>
      </c>
      <c r="F33" t="n">
        <v>1</v>
      </c>
    </row>
    <row r="34">
      <c r="A34" s="52" t="inlineStr">
        <is>
          <t>Л-9</t>
        </is>
      </c>
      <c r="B34" t="n">
        <v>1</v>
      </c>
      <c r="C34" t="n">
        <v>1</v>
      </c>
      <c r="D34" t="n">
        <v>1</v>
      </c>
      <c r="F34" t="n">
        <v>1</v>
      </c>
    </row>
    <row r="35">
      <c r="A35" s="52" t="inlineStr">
        <is>
          <t>Общий итог</t>
        </is>
      </c>
      <c r="B35" t="n">
        <v>31</v>
      </c>
      <c r="C35" t="n">
        <v>31</v>
      </c>
      <c r="D35" t="n">
        <v>31</v>
      </c>
      <c r="E35" t="n">
        <v>1</v>
      </c>
      <c r="F35" t="n">
        <v>31</v>
      </c>
    </row>
  </sheetData>
  <pageMargins left="0.7" right="0.7" top="0.75" bottom="0.75" header="0.3" footer="0.3"/>
</worksheet>
</file>

<file path=xl/worksheets/sheet9.xml><?xml version="1.0" encoding="utf-8"?>
<worksheet xmlns="http://schemas.openxmlformats.org/spreadsheetml/2006/main">
  <sheetPr codeName="Лист53">
    <tabColor rgb="FF92D050"/>
    <outlinePr summaryBelow="1" summaryRight="1"/>
    <pageSetUpPr/>
  </sheetPr>
  <dimension ref="A1:T106"/>
  <sheetViews>
    <sheetView view="pageBreakPreview" topLeftCell="A2" zoomScale="90" zoomScaleNormal="85" zoomScaleSheetLayoutView="90" workbookViewId="0">
      <selection activeCell="X53" sqref="X53"/>
    </sheetView>
  </sheetViews>
  <sheetFormatPr baseColWidth="10" defaultColWidth="9.1640625" defaultRowHeight="15"/>
  <cols>
    <col width="9.1640625" customWidth="1" style="4" min="1" max="1"/>
    <col width="9.1640625" customWidth="1" style="4" min="2" max="3"/>
    <col width="9.6640625" customWidth="1" style="4" min="4" max="5"/>
    <col width="11.33203125" customWidth="1" style="4" min="6" max="7"/>
    <col width="11.5" customWidth="1" style="4" min="8" max="8"/>
    <col width="11.6640625" customWidth="1" style="4" min="9" max="9"/>
    <col width="9.1640625" customWidth="1" style="4" min="10" max="12"/>
    <col width="24.83203125" customWidth="1" style="3" min="13" max="13"/>
    <col width="7.6640625" customWidth="1" style="3" min="14" max="14"/>
    <col width="9.1640625" customWidth="1" style="3" min="15" max="16384"/>
  </cols>
  <sheetData>
    <row r="1" hidden="1" ht="156.75" customHeight="1">
      <c r="A1" s="71" t="inlineStr">
        <is>
          <t xml:space="preserve">РД 11-02-2006 Приложение №3
к Требованиям к составу
и порядку ведения исполнительной
документации при строительстве.
Реконструкции, капитальном ремонте
объектов капитального строительства
и требования, предъявляемые к актам
освидетельствования работ, конструкций
участков сетей инженерно-технического
 обеспечения, утвержденным Приказом
 Федеральной службы по экологическому.
 технологическому и атомному надзору
 от 26 декабря 2006 г. №1128  </t>
        </is>
      </c>
      <c r="M1" s="14" t="inlineStr">
        <is>
          <t>
</t>
        </is>
      </c>
    </row>
    <row r="2" ht="36" customHeight="1">
      <c r="A2" s="72" t="inlineStr">
        <is>
          <t>Объект капитального строительства: «Футбольное тренировочное поле с искусственным газонным покрытием, вспомогательными помещениями и трибунами» по адресу: «Московская область, г. Мытищи, мкр. 25, Шараповский карьер»</t>
        </is>
      </c>
      <c r="B2" s="119" t="n"/>
      <c r="C2" s="119" t="n"/>
      <c r="D2" s="119" t="n"/>
      <c r="E2" s="119" t="n"/>
      <c r="F2" s="119" t="n"/>
      <c r="G2" s="119" t="n"/>
      <c r="H2" s="119" t="n"/>
      <c r="I2" s="119" t="n"/>
      <c r="J2" s="119" t="n"/>
      <c r="K2" s="119" t="n"/>
      <c r="L2" s="119" t="n"/>
    </row>
    <row r="3" hidden="1" ht="16.5" customHeight="1">
      <c r="A3" s="74" t="n"/>
    </row>
    <row r="4" ht="9.75" customHeight="1">
      <c r="A4" s="75" t="inlineStr">
        <is>
          <t>(наименование проектной документации, почтовый или строительный адрес объекта капитального строительства)</t>
        </is>
      </c>
    </row>
    <row r="5" ht="54" customHeight="1">
      <c r="A5" s="76" t="inlineStr">
        <is>
          <t>Застройщик (технический заказчик, эксплуатирующая организация или региональный оператор): МКУ "УЖКХ Мытищи", ОГРН 1125029011030, ИНН 5029168943, 141008, Московская область, город Мытищи, Новомытищинский проспект, дом 36/7, тел. +7(498)720-54-87</t>
        </is>
      </c>
      <c r="B5" s="119" t="n"/>
      <c r="C5" s="119" t="n"/>
      <c r="D5" s="119" t="n"/>
      <c r="E5" s="119" t="n"/>
      <c r="F5" s="119" t="n"/>
      <c r="G5" s="119" t="n"/>
      <c r="H5" s="119" t="n"/>
      <c r="I5" s="119" t="n"/>
      <c r="J5" s="119" t="n"/>
      <c r="K5" s="119" t="n"/>
      <c r="L5" s="119" t="n"/>
    </row>
    <row r="6" ht="9" customHeight="1">
      <c r="A6" s="75" t="inlineStr">
        <is>
          <t>(фамилия, имя, отчество, адрес места жительства, ОГРНИП, ИНН индивидуального предпринимателя,</t>
        </is>
      </c>
    </row>
    <row r="7" ht="9" customHeight="1">
      <c r="A7" s="75" t="inlineStr">
        <is>
          <t xml:space="preserve">наименование, ОГРН, ИНН, место нахождения юридического лица, телефон/факс, </t>
        </is>
      </c>
    </row>
    <row r="8" ht="9" customHeight="1">
      <c r="A8" s="77" t="inlineStr">
        <is>
          <t xml:space="preserve">наименование, ОГРН, ИНН саморегулируемой организации, членом которой является - для индивидуальных предпринимателей и юридических лиц;  фамилия, имя, отчество, </t>
        </is>
      </c>
    </row>
    <row r="9" ht="9" customHeight="1">
      <c r="A9" s="77" t="inlineStr">
        <is>
          <t>паспортные данные, адрес места жительства, телефон/факс - для физических лиц, не являющихся индивидуальными предпринимателями)</t>
        </is>
      </c>
    </row>
    <row r="10" ht="79" customHeight="1">
      <c r="A10" s="78" t="inlineStr">
        <is>
          <t>Лицо, осуществляющее строительство: ООО «Региональная Строительная Производственная Компания», ОГРН 1125029005970, ИНН 5029164064, 141002, Московская область, г.Мытищи, ул.Колпакова, д.2, литера Е, помещение 308.,  Ассоциация работодателей "Саморегулируемая организация "Объединение строительных и монтажных организаций "Стройкорпорация» ОГРН 1095000001502,  ИНН 5018137005, 141201, Московская область, г. Пушкино, микрорайон Междуречье, ул. Славянская, д.2, оф. Комнаты 79/1,79/3,84., тел.: +7(495)268-14-42</t>
        </is>
      </c>
      <c r="B10" s="119" t="n"/>
      <c r="C10" s="119" t="n"/>
      <c r="D10" s="119" t="n"/>
      <c r="E10" s="119" t="n"/>
      <c r="F10" s="119" t="n"/>
      <c r="G10" s="119" t="n"/>
      <c r="H10" s="119" t="n"/>
      <c r="I10" s="119" t="n"/>
      <c r="J10" s="119" t="n"/>
      <c r="K10" s="119" t="n"/>
      <c r="L10" s="119" t="n"/>
    </row>
    <row r="11" ht="9" customHeight="1">
      <c r="A11" s="75" t="inlineStr">
        <is>
          <t>(фамилия, имя, отчество, адрес места жительства, ОГРНИП, ИНН индивидуального предпринимателя,</t>
        </is>
      </c>
    </row>
    <row r="12" ht="9" customHeight="1">
      <c r="A12" s="75" t="inlineStr">
        <is>
          <t xml:space="preserve">наименование, ОГРН, ИНН, место нахождения юридического лица, телефон/факс, </t>
        </is>
      </c>
    </row>
    <row r="13" ht="9" customHeight="1">
      <c r="A13" s="75" t="inlineStr">
        <is>
          <t>наименование, ОГРН, ИНН саморегулируемой организации, членом которой является)</t>
        </is>
      </c>
    </row>
    <row r="14" hidden="1" ht="15" customHeight="1">
      <c r="A14" s="79" t="n"/>
    </row>
    <row r="15" ht="57.75" customHeight="1">
      <c r="A15" s="76" t="inlineStr">
        <is>
          <t>Лицо, осуществляющее подготовку проектной документации: ООО «АРС-СТ», ОРГН 1047796274129, ИНН 7705593472, 300013, г. Тула, ул. Болдина, д. 79, тел. 8 (4872) 559-371, Саморегулируемая организация в области проектирования «ПРОЕКТ», ОГРН 1097799004764, ИНН 7725255947</t>
        </is>
      </c>
      <c r="B15" s="119" t="n"/>
      <c r="C15" s="119" t="n"/>
      <c r="D15" s="119" t="n"/>
      <c r="E15" s="119" t="n"/>
      <c r="F15" s="119" t="n"/>
      <c r="G15" s="119" t="n"/>
      <c r="H15" s="119" t="n"/>
      <c r="I15" s="119" t="n"/>
      <c r="J15" s="119" t="n"/>
      <c r="K15" s="119" t="n"/>
      <c r="L15" s="119" t="n"/>
    </row>
    <row r="16" ht="9" customHeight="1">
      <c r="A16" s="75" t="inlineStr">
        <is>
          <t>(фамилия, имя, отчество, адрес места жительства, ОГРНИП, ИНН индивидуального предпринимателя,</t>
        </is>
      </c>
    </row>
    <row r="17" ht="9" customHeight="1">
      <c r="A17" s="75" t="inlineStr">
        <is>
          <t xml:space="preserve">наименование, ОГРН, ИНН, место нахождения юридического лица, телефон/факс, </t>
        </is>
      </c>
    </row>
    <row r="18" ht="9" customHeight="1">
      <c r="A18" s="75" t="inlineStr">
        <is>
          <t>наименование, ОГРН, ИНН саморегулируемой организации, членом которой является)</t>
        </is>
      </c>
    </row>
    <row r="19" hidden="1" ht="15" customHeight="1">
      <c r="A19" s="79" t="inlineStr">
        <is>
          <t>фамилия, имя, отчество, паспортные данные, место проживания, телефон/факс - для физических лиц)</t>
        </is>
      </c>
    </row>
    <row r="20" hidden="1" ht="16" customHeight="1">
      <c r="A20" s="80" t="inlineStr">
        <is>
          <t>Лицо, выполнившее работы, подлежащие освидетельствованию:  ООО «Бикор БМП», св. № 001884-2014-7714262759-С-041 от 02.10.14 г., СОНП по строительству нефтегазовых объектов "Нефтегазстрой" ОГРН 1027739474872; ИНН 77144262759; 119361, г. Москва, ул. Б. Очаковская., д.47А, стр.1, пом.7</t>
        </is>
      </c>
      <c r="B20" s="119" t="n"/>
      <c r="C20" s="119" t="n"/>
      <c r="D20" s="119" t="n"/>
      <c r="E20" s="119" t="n"/>
      <c r="F20" s="119" t="n"/>
      <c r="G20" s="119" t="n"/>
      <c r="H20" s="119" t="n"/>
      <c r="I20" s="119" t="n"/>
      <c r="J20" s="119" t="n"/>
      <c r="K20" s="119" t="n"/>
      <c r="L20" s="119" t="n"/>
      <c r="N20" s="3" t="n">
        <v>1</v>
      </c>
    </row>
    <row r="21" hidden="1" ht="15" customHeight="1">
      <c r="A21" s="79" t="inlineStr">
        <is>
          <t>(наименование, ОГРН, ИНН, номер и дата выдачи свидетельства о допуске к видам работ по строительству, реконструкции, капитальному ремонту</t>
        </is>
      </c>
    </row>
    <row r="22" hidden="1" ht="15" customHeight="1">
      <c r="A22" s="79" t="inlineStr">
        <is>
          <t>объектов капитального строительства, которые оказывают влияние на безопасность объектов капитального строительства, с указанием</t>
        </is>
      </c>
    </row>
    <row r="23" hidden="1" ht="15" customHeight="1">
      <c r="A23" s="79" t="inlineStr">
        <is>
          <t>саморегулируемой организации, его выдавшей, почтовые реквизиты, телефон/факс - для юридических лиц и индивидуальных предпринимателей;</t>
        </is>
      </c>
    </row>
    <row r="24" hidden="1" ht="15" customHeight="1">
      <c r="A24" s="79" t="inlineStr">
        <is>
          <t>фамилия, имя, отчество, паспортные данные, место проживания, телефон/факс - для физических лиц)</t>
        </is>
      </c>
    </row>
    <row r="25" ht="22.5" customHeight="1">
      <c r="A25" s="81" t="n"/>
      <c r="M25" s="19" t="n"/>
      <c r="N25" s="20" t="n">
        <v>2</v>
      </c>
    </row>
    <row r="26" hidden="1" ht="0.75" customHeight="1">
      <c r="A26" s="79" t="inlineStr">
        <is>
          <t>о государственной регистрации, ОГРН, ИНН, почтовые реквизиты, телефон/факс – для  юридических лиц)</t>
        </is>
      </c>
      <c r="N26" s="3" t="n">
        <v>9</v>
      </c>
    </row>
    <row r="27" ht="16" customHeight="1">
      <c r="A27" s="82" t="inlineStr">
        <is>
          <t>АКТ</t>
        </is>
      </c>
      <c r="S27" s="19" t="n"/>
      <c r="T27" s="18" t="n"/>
    </row>
    <row r="28" ht="16" customHeight="1">
      <c r="A28" s="82" t="inlineStr">
        <is>
          <t xml:space="preserve">освидетельствования скрытых работ </t>
        </is>
      </c>
    </row>
    <row r="29">
      <c r="D29" s="17" t="inlineStr">
        <is>
          <t>№1</t>
        </is>
      </c>
      <c r="H29" s="114" t="inlineStr">
        <is>
          <t>"20" ноября 2019 г.</t>
        </is>
      </c>
    </row>
    <row r="30" ht="9.75" customHeight="1">
      <c r="H30" s="84" t="inlineStr">
        <is>
          <t>(дата составления акта)</t>
        </is>
      </c>
    </row>
    <row r="31" ht="38.25" customHeight="1">
      <c r="A31" s="85" t="inlineStr">
        <is>
          <t xml:space="preserve">Представитель застройщика (технического заказчика, эксплуатирующей организации или регионального оператора) по вопросам строительного контроля  </t>
        </is>
      </c>
    </row>
    <row r="32" ht="54.75" customHeight="1">
      <c r="A32" s="86" t="inlineStr">
        <is>
          <t>Инженер отдела инженерного надзора и проектно-технической документации Чайковский И.В., приказ №109/21 от 10.12.2021 г., МКУ "УЖКХ Мытищи", ОГРН 1125029011030, ИНН 5029168943, 141008, Московская область, город Мытищи, Новомытищинский проспект, дом 36/7, тел. +7(498)720-54-87</t>
        </is>
      </c>
      <c r="B32" s="119" t="n"/>
      <c r="C32" s="119" t="n"/>
      <c r="D32" s="119" t="n"/>
      <c r="E32" s="119" t="n"/>
      <c r="F32" s="119" t="n"/>
      <c r="G32" s="119" t="n"/>
      <c r="H32" s="119" t="n"/>
      <c r="I32" s="119" t="n"/>
      <c r="J32" s="119" t="n"/>
      <c r="K32" s="119" t="n"/>
      <c r="L32" s="119" t="n"/>
      <c r="M32" s="6" t="n"/>
    </row>
    <row r="33" ht="34.5" customHeight="1">
      <c r="A33" s="87" t="inlineStr">
        <is>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is>
      </c>
    </row>
    <row r="34" ht="21" customHeight="1">
      <c r="A34" s="85" t="inlineStr">
        <is>
          <t xml:space="preserve">Представитель лица, осуществляющего строительство </t>
        </is>
      </c>
    </row>
    <row r="35" ht="16.5" customHeight="1">
      <c r="A35" s="86" t="inlineStr">
        <is>
          <t>Заместитель генерального директора ООО «РСПК» Дергачев Н.С., приказ № 13/12-1-пр от 13.12.2021г.</t>
        </is>
      </c>
      <c r="B35" s="119" t="n"/>
      <c r="C35" s="119" t="n"/>
      <c r="D35" s="119" t="n"/>
      <c r="E35" s="119" t="n"/>
      <c r="F35" s="119" t="n"/>
      <c r="G35" s="119" t="n"/>
      <c r="H35" s="119" t="n"/>
      <c r="I35" s="119" t="n"/>
      <c r="J35" s="119" t="n"/>
      <c r="K35" s="119" t="n"/>
      <c r="L35" s="119" t="n"/>
      <c r="M35" s="6" t="n"/>
    </row>
    <row r="36" ht="15" customHeight="1">
      <c r="A36" s="77" t="inlineStr">
        <is>
          <t>(должность, фамилия, инициалы, реквизиты распорядительного документа, подтверждающего полномочия)</t>
        </is>
      </c>
    </row>
    <row r="37" ht="35.25" customHeight="1">
      <c r="A37" s="85" t="inlineStr">
        <is>
          <t>Представитель лица, осуществляющего строительство, по вопросам строительного контроля (специалист по организации строительства)</t>
        </is>
      </c>
    </row>
    <row r="38" ht="21" customHeight="1">
      <c r="A38" s="86" t="inlineStr">
        <is>
          <t>Главный инженер  ООО «РСПК» Симаньков В.Н., приказ № 13/12-1-пр от 13.12.2021г.</t>
        </is>
      </c>
      <c r="B38" s="119" t="n"/>
      <c r="C38" s="119" t="n"/>
      <c r="D38" s="119" t="n"/>
      <c r="E38" s="119" t="n"/>
      <c r="F38" s="119" t="n"/>
      <c r="G38" s="119" t="n"/>
      <c r="H38" s="119" t="n"/>
      <c r="I38" s="119" t="n"/>
      <c r="J38" s="119" t="n"/>
      <c r="K38" s="119" t="n"/>
      <c r="L38" s="119" t="n"/>
    </row>
    <row r="39" ht="22.5" customHeight="1">
      <c r="A39" s="16" t="n"/>
      <c r="B39" s="88" t="inlineStr">
        <is>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t>
        </is>
      </c>
      <c r="C39" s="121" t="n"/>
      <c r="D39" s="121" t="n"/>
      <c r="E39" s="121" t="n"/>
      <c r="F39" s="121" t="n"/>
      <c r="G39" s="121" t="n"/>
      <c r="H39" s="121" t="n"/>
      <c r="I39" s="121" t="n"/>
      <c r="J39" s="121" t="n"/>
      <c r="K39" s="121" t="n"/>
      <c r="L39" s="16" t="n"/>
      <c r="M39" s="6" t="n"/>
    </row>
    <row r="40" ht="21" customHeight="1">
      <c r="A40" s="89" t="inlineStr">
        <is>
          <t>Представитель лица, осуществляющего подготовку проектной документации</t>
        </is>
      </c>
    </row>
    <row r="41" ht="39.75" customHeight="1">
      <c r="A41" s="86" t="inlineStr">
        <is>
          <t>Главный инженер проекта Филимонов К. В. НОПРИЗ № ПИ-07736, приказ №12-А от 11.02.2022 г., ООО «СТРОЙ ПРЕСТИЖ» ОГРН 1147746590474, ИНН 7715432964, 141402, Московская обл., г. Химки, ул. Энгельса, д. 7/15 помещение 31</t>
        </is>
      </c>
      <c r="B41" s="119" t="n"/>
      <c r="C41" s="119" t="n"/>
      <c r="D41" s="119" t="n"/>
      <c r="E41" s="119" t="n"/>
      <c r="F41" s="119" t="n"/>
      <c r="G41" s="119" t="n"/>
      <c r="H41" s="119" t="n"/>
      <c r="I41" s="119" t="n"/>
      <c r="J41" s="119" t="n"/>
      <c r="K41" s="119" t="n"/>
      <c r="L41" s="119" t="n"/>
    </row>
    <row r="42" ht="34.5" customHeight="1">
      <c r="A42" s="77" t="inlineStr">
        <is>
          <t xml:space="preserve">(должность,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наименование, ОГРН, ИНН саморегулирующей организации, членом которой является указанное юридическое лицо, индивидуальный предприниматель) </t>
        </is>
      </c>
    </row>
    <row r="43" ht="21" customHeight="1">
      <c r="A43" s="89" t="inlineStr">
        <is>
          <t>Представитель лица, выполнившего работы, подлежащие освидетельствованию</t>
        </is>
      </c>
    </row>
    <row r="44" ht="31.5" customHeight="1">
      <c r="A44" s="86" t="inlineStr">
        <is>
          <t>Главный инженер Бужу В.В., приказ № 1 от 10.12.2021г., ООО «СТРОЙ ПРЕСТИЖ» ОГРН 1147746590474, ИНН 7715432964, 141402, Московская обл., г. Химки, ул. Энгельса, д. 7/15 помещение 31</t>
        </is>
      </c>
      <c r="B44" s="119" t="n"/>
      <c r="C44" s="119" t="n"/>
      <c r="D44" s="119" t="n"/>
      <c r="E44" s="119" t="n"/>
      <c r="F44" s="119" t="n"/>
      <c r="G44" s="119" t="n"/>
      <c r="H44" s="119" t="n"/>
      <c r="I44" s="119" t="n"/>
      <c r="J44" s="119" t="n"/>
      <c r="K44" s="119" t="n"/>
      <c r="L44" s="119" t="n"/>
    </row>
    <row r="45" ht="27.75" customHeight="1">
      <c r="A45" s="77" t="inlineStr">
        <is>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is>
      </c>
    </row>
    <row r="46" ht="21" customHeight="1">
      <c r="A46" s="89" t="inlineStr">
        <is>
          <t>а также иные представители лиц, участвующих в освидетельствовании:</t>
        </is>
      </c>
      <c r="K46" s="90" t="n"/>
    </row>
    <row r="47" ht="15.75" customHeight="1">
      <c r="A47" s="91" t="n"/>
      <c r="B47" s="119" t="n"/>
      <c r="C47" s="119" t="n"/>
      <c r="D47" s="119" t="n"/>
      <c r="E47" s="119" t="n"/>
      <c r="F47" s="119" t="n"/>
      <c r="G47" s="119" t="n"/>
      <c r="H47" s="119" t="n"/>
      <c r="I47" s="119" t="n"/>
      <c r="J47" s="119" t="n"/>
      <c r="K47" s="119" t="n"/>
      <c r="L47" s="119" t="n"/>
      <c r="M47" s="6" t="n"/>
    </row>
    <row r="48" ht="15" customHeight="1">
      <c r="A48" s="88" t="inlineStr">
        <is>
          <t>(должность с указанием наименования организации, фамилия, инициалы, реквизиты распорядительного документа, подтверждающего полномочия)</t>
        </is>
      </c>
      <c r="B48" s="121" t="n"/>
      <c r="C48" s="121" t="n"/>
      <c r="D48" s="121" t="n"/>
      <c r="E48" s="121" t="n"/>
      <c r="F48" s="121" t="n"/>
      <c r="G48" s="121" t="n"/>
      <c r="H48" s="121" t="n"/>
      <c r="I48" s="121" t="n"/>
      <c r="J48" s="121" t="n"/>
      <c r="K48" s="121" t="n"/>
      <c r="L48" s="121" t="n"/>
    </row>
    <row r="49" ht="22.5" customHeight="1">
      <c r="A49" s="89" t="inlineStr">
        <is>
          <t xml:space="preserve">произвели осмотр работ, выполненных </t>
        </is>
      </c>
      <c r="F49" s="92" t="inlineStr">
        <is>
          <t xml:space="preserve">ООО «СТРОЙ ПРЕСТИЖ» </t>
        </is>
      </c>
      <c r="G49" s="119" t="n"/>
      <c r="H49" s="119" t="n"/>
      <c r="I49" s="119" t="n"/>
      <c r="J49" s="119" t="n"/>
      <c r="K49" s="119" t="n"/>
      <c r="L49" s="119" t="n"/>
    </row>
    <row r="50" hidden="1" ht="16.5" customHeight="1">
      <c r="A50" s="94" t="n"/>
      <c r="B50" s="119" t="n"/>
      <c r="C50" s="119" t="n"/>
      <c r="D50" s="119" t="n"/>
      <c r="E50" s="119" t="n"/>
      <c r="F50" s="119" t="n"/>
      <c r="G50" s="119" t="n"/>
      <c r="H50" s="119" t="n"/>
      <c r="I50" s="119" t="n"/>
      <c r="J50" s="119" t="n"/>
      <c r="K50" s="119" t="n"/>
      <c r="L50" s="119" t="n"/>
    </row>
    <row r="51" ht="15" customHeight="1">
      <c r="A51" s="88" t="inlineStr">
        <is>
          <t>(наименование лица, выполнившего работы, подлежащие освидетельствованию)</t>
        </is>
      </c>
      <c r="B51" s="121" t="n"/>
      <c r="C51" s="121" t="n"/>
      <c r="D51" s="121" t="n"/>
      <c r="E51" s="121" t="n"/>
      <c r="F51" s="121" t="n"/>
      <c r="G51" s="121" t="n"/>
      <c r="H51" s="121" t="n"/>
      <c r="I51" s="121" t="n"/>
      <c r="J51" s="121" t="n"/>
      <c r="K51" s="121" t="n"/>
      <c r="L51" s="121" t="n"/>
    </row>
    <row r="52" ht="21" customHeight="1">
      <c r="A52" s="89" t="inlineStr">
        <is>
          <t xml:space="preserve">и составили настоящий акт о нижеследующем: </t>
        </is>
      </c>
    </row>
    <row r="53" ht="16.5" customHeight="1">
      <c r="A53" s="113" t="inlineStr">
        <is>
          <t>1. К освидетельствованию предъявлены следующие работы</t>
        </is>
      </c>
      <c r="B53" s="113" t="n"/>
      <c r="C53" s="113" t="n"/>
      <c r="D53" s="113" t="n"/>
      <c r="E53" s="113" t="n"/>
      <c r="F53" s="113" t="n"/>
      <c r="G53" s="113" t="n"/>
      <c r="H53" s="113" t="n"/>
      <c r="I53" s="113" t="n"/>
      <c r="J53" s="113" t="n"/>
      <c r="K53" s="113" t="n"/>
      <c r="L53" s="113" t="n"/>
    </row>
    <row r="54" ht="15" customHeight="1">
      <c r="A54" s="95" t="inlineStr">
        <is>
          <t>Устройство бетонной подготовки в осях 1-7/А-Т на отм.-3,940</t>
        </is>
      </c>
      <c r="B54" s="119" t="n"/>
      <c r="C54" s="119" t="n"/>
      <c r="D54" s="119" t="n"/>
      <c r="E54" s="119" t="n"/>
      <c r="F54" s="119" t="n"/>
      <c r="G54" s="119" t="n"/>
      <c r="H54" s="119" t="n"/>
      <c r="I54" s="119" t="n"/>
      <c r="J54" s="119" t="n"/>
      <c r="K54" s="119" t="n"/>
      <c r="L54" s="119" t="n"/>
      <c r="S54" s="15" t="n"/>
    </row>
    <row r="55" ht="9" customHeight="1">
      <c r="A55" s="77" t="inlineStr">
        <is>
          <t>(наименование скрытых работ)</t>
        </is>
      </c>
    </row>
    <row r="56" ht="21" customHeight="1">
      <c r="A56" s="4" t="inlineStr">
        <is>
          <t>2. Работы выполнены по проектной документации</t>
        </is>
      </c>
      <c r="B56" s="113" t="n"/>
      <c r="C56" s="113" t="n"/>
      <c r="D56" s="113" t="n"/>
      <c r="E56" s="113" t="n"/>
      <c r="F56" s="113" t="n"/>
      <c r="G56" s="113" t="n"/>
      <c r="H56" s="113" t="n"/>
      <c r="I56" s="113" t="n"/>
      <c r="J56" s="113" t="n"/>
      <c r="K56" s="113" t="n"/>
      <c r="L56" s="113" t="n"/>
    </row>
    <row r="57" ht="15.75" customHeight="1">
      <c r="A57" s="96" t="inlineStr">
        <is>
          <t>Шифр: 62-АБД-КЖ 1 , л. 4.,9. ООО «МОСРЕГИОНПРОЕКТ»</t>
        </is>
      </c>
      <c r="B57" s="119" t="n"/>
      <c r="C57" s="119" t="n"/>
      <c r="D57" s="119" t="n"/>
      <c r="E57" s="119" t="n"/>
      <c r="F57" s="119" t="n"/>
      <c r="G57" s="119" t="n"/>
      <c r="H57" s="119" t="n"/>
      <c r="I57" s="119" t="n"/>
      <c r="J57" s="119" t="n"/>
      <c r="K57" s="119" t="n"/>
      <c r="L57" s="119" t="n"/>
      <c r="M57" s="14" t="n"/>
    </row>
    <row r="58" ht="9" customHeight="1">
      <c r="A58" s="77" t="inlineStr">
        <is>
          <t>(номер, другие реквизиты чертежа, наименование проектной и/или рабочей документации,</t>
        </is>
      </c>
    </row>
    <row r="59" ht="9" customHeight="1">
      <c r="A59" s="77" t="inlineStr">
        <is>
          <t>сведения о лицах, осуществляющих подготовку раздела проектной и/или рабочей документации)</t>
        </is>
      </c>
    </row>
    <row r="60" ht="21" customHeight="1">
      <c r="A60" s="4" t="inlineStr">
        <is>
          <t>3. При выполнении работ применены:</t>
        </is>
      </c>
      <c r="B60" s="113" t="n"/>
      <c r="C60" s="113" t="n"/>
      <c r="D60" s="113" t="n"/>
      <c r="E60" s="113" t="n"/>
      <c r="F60" s="113" t="n"/>
      <c r="G60" s="113" t="n"/>
      <c r="H60" s="113" t="n"/>
      <c r="I60" s="113" t="n"/>
      <c r="J60" s="113" t="n"/>
      <c r="K60" s="113" t="n"/>
      <c r="L60" s="113" t="n"/>
    </row>
    <row r="61" ht="44" customHeight="1">
      <c r="A61" s="95" t="inlineStr">
        <is>
          <t>Документы о качестве бетонной смеси БСТ В12,5 П4 F/00 W6: №1863., №1866., №/859., №1865 от 17.08.2022г. № 11478 от 18.08.2022г. Декларацuя о соответствии №РОСС RU Д-RU. HA45.B.00762/22 срок действuя по 12.01.2023г. Декларация о соответствии № РОСС RU Д-RU.PAO1.B.10095/22 срок действuя по 21.03.2025г.</t>
        </is>
      </c>
      <c r="B61" s="119" t="n"/>
      <c r="C61" s="119" t="n"/>
      <c r="D61" s="119" t="n"/>
      <c r="E61" s="119" t="n"/>
      <c r="F61" s="119" t="n"/>
      <c r="G61" s="119" t="n"/>
      <c r="H61" s="119" t="n"/>
      <c r="I61" s="119" t="n"/>
      <c r="J61" s="119" t="n"/>
      <c r="K61" s="119" t="n"/>
      <c r="L61" s="119" t="n"/>
      <c r="M61" s="14" t="n"/>
    </row>
    <row r="62" ht="9" customHeight="1">
      <c r="A62" s="77" t="inlineStr">
        <is>
          <t>(наименование строительных материалов (изделий), реквизиты сертификатов и/или других документов, подтверждающих их качество и безопасность)</t>
        </is>
      </c>
    </row>
    <row r="63" ht="21" customHeight="1">
      <c r="A63" s="4" t="inlineStr">
        <is>
          <t>4. Предъявлены документы, подтверждающие соответствие работ предъявляемым к ним требованиям</t>
        </is>
      </c>
      <c r="B63" s="113" t="n"/>
      <c r="C63" s="113" t="n"/>
      <c r="D63" s="113" t="n"/>
      <c r="E63" s="113" t="n"/>
      <c r="F63" s="113" t="n"/>
      <c r="G63" s="113" t="n"/>
      <c r="H63" s="113" t="n"/>
      <c r="I63" s="113" t="n"/>
      <c r="J63" s="113" t="n"/>
      <c r="K63" s="113" t="n"/>
      <c r="L63" s="113" t="n"/>
    </row>
    <row r="64" ht="20" customHeight="1">
      <c r="A64" s="95" t="inlineStr">
        <is>
          <t>Исполнительная схема № БП-17-18/8-01 "Бетонная подготовка в осях 1-17/А-Т на отм.-3,940"</t>
        </is>
      </c>
      <c r="B64" s="119" t="n"/>
      <c r="C64" s="119" t="n"/>
      <c r="D64" s="119" t="n"/>
      <c r="E64" s="119" t="n"/>
      <c r="F64" s="119" t="n"/>
      <c r="G64" s="119" t="n"/>
      <c r="H64" s="119" t="n"/>
      <c r="I64" s="119" t="n"/>
      <c r="J64" s="119" t="n"/>
      <c r="K64" s="119" t="n"/>
      <c r="L64" s="119" t="n"/>
      <c r="M64" s="14" t="n"/>
    </row>
    <row r="65" ht="9.75" customHeight="1">
      <c r="A65" s="77" t="inlineStr">
        <is>
          <t>(исполнительные схемы и чертежи, результаты экспертиз, обследований, лабораторных и иных испытаний выполненных работ, проведенных в процессе строительного контроля)</t>
        </is>
      </c>
    </row>
    <row r="66" ht="23.25" customHeight="1">
      <c r="A66" s="4" t="inlineStr">
        <is>
          <t>5. Даты:</t>
        </is>
      </c>
      <c r="B66" s="90" t="n"/>
      <c r="C66" s="97" t="inlineStr">
        <is>
          <t xml:space="preserve"> начала работ</t>
        </is>
      </c>
      <c r="E66" s="98" t="inlineStr">
        <is>
          <t>"13" ноября 2019 г.</t>
        </is>
      </c>
      <c r="G66" s="90" t="n"/>
      <c r="H66" s="90" t="n"/>
      <c r="I66" s="90" t="n"/>
      <c r="J66" s="90" t="n"/>
      <c r="K66" s="90" t="n"/>
      <c r="L66" s="90" t="n"/>
    </row>
    <row r="67" ht="15" customHeight="1">
      <c r="B67" s="90" t="n"/>
      <c r="C67" s="99" t="inlineStr">
        <is>
          <t xml:space="preserve">окончания работ </t>
        </is>
      </c>
      <c r="E67" s="98" t="inlineStr">
        <is>
          <t>"20" ноября 2019 г.</t>
        </is>
      </c>
      <c r="G67" s="90" t="n"/>
      <c r="H67" s="90" t="n"/>
      <c r="I67" s="90" t="n"/>
      <c r="J67" s="90" t="n"/>
      <c r="K67" s="90" t="n"/>
      <c r="L67" s="90" t="n"/>
    </row>
    <row r="69" ht="16.5" customHeight="1">
      <c r="A69" s="113" t="inlineStr">
        <is>
          <t xml:space="preserve">6. Работы выполнены в соответствии с  </t>
        </is>
      </c>
      <c r="B69" s="113" t="n"/>
      <c r="C69" s="113" t="n"/>
      <c r="D69" s="113" t="n"/>
      <c r="E69" s="113" t="n"/>
      <c r="F69" s="113" t="n"/>
      <c r="G69" s="113" t="n"/>
      <c r="H69" s="113" t="n"/>
      <c r="I69" s="113" t="n"/>
      <c r="J69" s="113" t="n"/>
      <c r="K69" s="113" t="n"/>
      <c r="L69" s="113" t="n"/>
    </row>
    <row r="70" ht="17" customHeight="1">
      <c r="A70" s="100" t="inlineStr">
        <is>
          <t>СП 45.13330.2017. Свод правил. Земляные сооружения, основания и фундаменты. Шифр: 62-АБД-КЖ1., л. 4.,9.  ООО «МОСРЕГИОНПРОЕКТ»</t>
        </is>
      </c>
      <c r="B70" s="119" t="n"/>
      <c r="C70" s="119" t="n"/>
      <c r="D70" s="119" t="n"/>
      <c r="E70" s="119" t="n"/>
      <c r="F70" s="119" t="n"/>
      <c r="G70" s="119" t="n"/>
      <c r="H70" s="119" t="n"/>
      <c r="I70" s="119" t="n"/>
      <c r="J70" s="119" t="n"/>
      <c r="K70" s="119" t="n"/>
      <c r="L70" s="119" t="n"/>
      <c r="M70" s="14" t="n"/>
    </row>
    <row r="71" ht="9" customHeight="1">
      <c r="A71" s="122" t="inlineStr">
        <is>
          <t>(наименования и структурные единицы технических регламентов, иных нормативных правовых актов, разделы проектной и/или рабочей документации)</t>
        </is>
      </c>
    </row>
    <row r="72" ht="21" customHeight="1">
      <c r="A72" s="4" t="inlineStr">
        <is>
          <t>7. Разрешается производство последующих работ по</t>
        </is>
      </c>
      <c r="B72" s="113" t="n"/>
      <c r="C72" s="113" t="n"/>
      <c r="D72" s="113" t="n"/>
      <c r="E72" s="113" t="n"/>
      <c r="F72" s="113" t="n"/>
      <c r="G72" s="113" t="n"/>
      <c r="H72" s="113" t="n"/>
      <c r="I72" s="113" t="n"/>
      <c r="J72" s="113" t="n"/>
      <c r="K72" s="113" t="n"/>
      <c r="L72" s="113" t="n"/>
    </row>
    <row r="73" ht="15" customHeight="1">
      <c r="A73" s="100" t="inlineStr">
        <is>
          <t>Устройству рулонной гидроизоляции в 2 слоя в осях: 1-7/А-Т на отм.-3,940</t>
        </is>
      </c>
      <c r="B73" s="119" t="n"/>
      <c r="C73" s="119" t="n"/>
      <c r="D73" s="119" t="n"/>
      <c r="E73" s="119" t="n"/>
      <c r="F73" s="119" t="n"/>
      <c r="G73" s="119" t="n"/>
      <c r="H73" s="119" t="n"/>
      <c r="I73" s="119" t="n"/>
      <c r="J73" s="119" t="n"/>
      <c r="K73" s="119" t="n"/>
      <c r="L73" s="119" t="n"/>
    </row>
    <row r="74" ht="9" customHeight="1">
      <c r="A74" s="77" t="inlineStr">
        <is>
          <t>(наименование работ, конструкций, участков сетей инженерно-технического обеспечения)</t>
        </is>
      </c>
    </row>
    <row r="75">
      <c r="A75" s="102" t="n"/>
    </row>
    <row r="76" ht="15" customHeight="1">
      <c r="A76" s="103" t="inlineStr">
        <is>
          <t xml:space="preserve">Дополнительные сведения </t>
        </is>
      </c>
      <c r="B76" s="119" t="n"/>
      <c r="C76" s="119" t="n"/>
      <c r="D76" s="119" t="n"/>
      <c r="E76" s="104" t="n"/>
      <c r="F76" s="119" t="n"/>
      <c r="G76" s="119" t="n"/>
      <c r="H76" s="119" t="n"/>
      <c r="I76" s="119" t="n"/>
      <c r="J76" s="119" t="n"/>
      <c r="K76" s="119" t="n"/>
      <c r="L76" s="119" t="n"/>
    </row>
    <row r="77" hidden="1">
      <c r="A77" s="106" t="n"/>
      <c r="B77" s="119" t="n"/>
      <c r="C77" s="119" t="n"/>
      <c r="D77" s="13" t="n"/>
      <c r="E77" s="13" t="n"/>
      <c r="F77" s="13" t="n"/>
      <c r="G77" s="13" t="n"/>
      <c r="H77" s="13" t="n"/>
      <c r="I77" s="13" t="n"/>
      <c r="J77" s="13" t="n"/>
      <c r="K77" s="13" t="n"/>
      <c r="L77" s="13" t="n"/>
    </row>
    <row r="78" hidden="1">
      <c r="A78" s="107" t="n"/>
      <c r="B78" s="116" t="n"/>
      <c r="C78" s="116" t="n"/>
      <c r="D78" s="10" t="n"/>
      <c r="E78" s="10" t="n"/>
      <c r="F78" s="10" t="n"/>
      <c r="G78" s="10" t="n"/>
      <c r="H78" s="10" t="n"/>
      <c r="I78" s="10" t="n"/>
      <c r="J78" s="10" t="n"/>
      <c r="K78" s="10" t="n"/>
      <c r="L78" s="10" t="n"/>
    </row>
    <row r="79" ht="6.75" customHeight="1">
      <c r="A79" s="108" t="n"/>
      <c r="B79" s="121" t="n"/>
      <c r="C79" s="121" t="n"/>
    </row>
    <row r="80" ht="15" customHeight="1">
      <c r="A80" s="113" t="inlineStr">
        <is>
          <t xml:space="preserve">Акт составлен в </t>
        </is>
      </c>
      <c r="B80" s="90" t="n"/>
      <c r="C80" s="112" t="n">
        <v>5</v>
      </c>
      <c r="D80" s="113" t="inlineStr">
        <is>
          <t xml:space="preserve">экземплярах. </t>
        </is>
      </c>
      <c r="F80" s="113" t="n"/>
      <c r="G80" s="90" t="n"/>
    </row>
    <row r="81" ht="18.75" customHeight="1">
      <c r="A81" s="113" t="n"/>
      <c r="B81" s="90" t="n"/>
      <c r="C81" s="12" t="n"/>
      <c r="D81" s="113" t="n"/>
      <c r="F81" s="113" t="n"/>
      <c r="G81" s="90" t="n"/>
    </row>
    <row r="82" ht="18" customFormat="1" customHeight="1" s="6">
      <c r="A82" s="113" t="inlineStr">
        <is>
          <t>Приложения:</t>
        </is>
      </c>
      <c r="B82" s="113" t="n"/>
      <c r="C82" s="95" t="inlineStr">
        <is>
          <t>Исполнительная схема № БП-17-18/8-01 "Бетонная подготовка в осях 1-17/А-Т на отм.-3,940"</t>
        </is>
      </c>
      <c r="D82" s="119" t="n"/>
      <c r="E82" s="119" t="n"/>
      <c r="F82" s="119" t="n"/>
      <c r="G82" s="119" t="n"/>
      <c r="H82" s="119" t="n"/>
      <c r="I82" s="119" t="n"/>
      <c r="J82" s="119" t="n"/>
      <c r="K82" s="119" t="n"/>
      <c r="L82" s="119" t="n"/>
      <c r="N82" s="11" t="n"/>
    </row>
    <row r="83" ht="9" customHeight="1">
      <c r="A83" s="75" t="inlineStr">
        <is>
          <t>(исполнительные схемы и чертежи, результаты экспертиз, обследований, лабораторных и иных испытаний)</t>
        </is>
      </c>
    </row>
    <row r="84" hidden="1">
      <c r="A84" s="108" t="n"/>
      <c r="B84" s="121" t="n"/>
      <c r="C84" s="121" t="n"/>
      <c r="D84" s="10" t="n"/>
      <c r="E84" s="10" t="n"/>
      <c r="F84" s="10" t="n"/>
      <c r="G84" s="10" t="n"/>
      <c r="H84" s="10" t="n"/>
      <c r="I84" s="10" t="n"/>
      <c r="J84" s="10" t="n"/>
      <c r="K84" s="10" t="n"/>
      <c r="L84" s="10" t="n"/>
    </row>
    <row r="85">
      <c r="A85" s="90" t="n"/>
    </row>
    <row r="86" ht="26.25" customHeight="1">
      <c r="A86" s="109" t="inlineStr">
        <is>
          <t xml:space="preserve">Представитель застройщика (технического заказчика , эксплуатирующей организации или регионального оператора ) по вопросам строительного контроля </t>
        </is>
      </c>
    </row>
    <row r="87" ht="16.5" customHeight="1">
      <c r="A87" s="86" t="inlineStr">
        <is>
          <t>Чайковский И.В.</t>
        </is>
      </c>
      <c r="B87" s="119" t="n"/>
      <c r="C87" s="119" t="n"/>
      <c r="D87" s="119" t="n"/>
      <c r="E87" s="119" t="n"/>
      <c r="F87" s="119" t="n"/>
      <c r="G87" s="119" t="n"/>
      <c r="H87" s="119" t="n"/>
      <c r="I87" s="119" t="n"/>
      <c r="J87" s="119" t="n"/>
      <c r="K87" s="119" t="n"/>
      <c r="L87" s="119" t="n"/>
      <c r="M87" s="6" t="n"/>
    </row>
    <row r="88" ht="9" customHeight="1">
      <c r="A88" s="88" t="inlineStr">
        <is>
          <t>(фамилия, инициалы, подпись)</t>
        </is>
      </c>
      <c r="B88" s="121" t="n"/>
      <c r="C88" s="121" t="n"/>
      <c r="D88" s="121" t="n"/>
      <c r="E88" s="121" t="n"/>
      <c r="F88" s="121" t="n"/>
      <c r="G88" s="121" t="n"/>
      <c r="H88" s="121" t="n"/>
      <c r="I88" s="121" t="n"/>
      <c r="J88" s="121" t="n"/>
      <c r="K88" s="121" t="n"/>
      <c r="L88" s="121" t="n"/>
    </row>
    <row r="89">
      <c r="A89" s="110" t="inlineStr">
        <is>
          <t>Представитель лица, осуществляющего строительство :</t>
        </is>
      </c>
    </row>
    <row r="90" ht="16.5" customHeight="1">
      <c r="A90" s="86" t="inlineStr">
        <is>
          <t>Дергачев Н.С.</t>
        </is>
      </c>
      <c r="B90" s="119" t="n"/>
      <c r="C90" s="119" t="n"/>
      <c r="D90" s="119" t="n"/>
      <c r="E90" s="119" t="n"/>
      <c r="F90" s="119" t="n"/>
      <c r="G90" s="119" t="n"/>
      <c r="H90" s="119" t="n"/>
      <c r="I90" s="119" t="n"/>
      <c r="J90" s="119" t="n"/>
      <c r="K90" s="119" t="n"/>
      <c r="L90" s="119" t="n"/>
      <c r="M90" s="6" t="n"/>
    </row>
    <row r="91" ht="9" customHeight="1">
      <c r="A91" s="88" t="inlineStr">
        <is>
          <t>(фамилия, инициалы, подпись)</t>
        </is>
      </c>
      <c r="B91" s="121" t="n"/>
      <c r="C91" s="121" t="n"/>
      <c r="D91" s="121" t="n"/>
      <c r="E91" s="121" t="n"/>
      <c r="F91" s="121" t="n"/>
      <c r="G91" s="121" t="n"/>
      <c r="H91" s="121" t="n"/>
      <c r="I91" s="121" t="n"/>
      <c r="J91" s="121" t="n"/>
      <c r="K91" s="121" t="n"/>
      <c r="L91" s="121" t="n"/>
    </row>
    <row r="92" ht="30.75" customHeight="1">
      <c r="A92" s="109" t="inlineStr">
        <is>
          <t>Представитель лица, осуществляющего строительство, по вопросам строительного контроля ( специалист по организации строительства)</t>
        </is>
      </c>
    </row>
    <row r="93" ht="16.5" customHeight="1">
      <c r="A93" s="86" t="inlineStr">
        <is>
          <t>Симаньков В.Н.</t>
        </is>
      </c>
      <c r="B93" s="119" t="n"/>
      <c r="C93" s="119" t="n"/>
      <c r="D93" s="119" t="n"/>
      <c r="E93" s="119" t="n"/>
      <c r="F93" s="119" t="n"/>
      <c r="G93" s="119" t="n"/>
      <c r="H93" s="119" t="n"/>
      <c r="I93" s="119" t="n"/>
      <c r="J93" s="119" t="n"/>
      <c r="K93" s="119" t="n"/>
      <c r="L93" s="119" t="n"/>
      <c r="M93" s="6" t="n"/>
    </row>
    <row r="94" ht="9" customHeight="1">
      <c r="A94" s="88" t="inlineStr">
        <is>
          <t>(фамилия, инициалы, подпись)</t>
        </is>
      </c>
      <c r="B94" s="121" t="n"/>
      <c r="C94" s="121" t="n"/>
      <c r="D94" s="121" t="n"/>
      <c r="E94" s="121" t="n"/>
      <c r="F94" s="121" t="n"/>
      <c r="G94" s="121" t="n"/>
      <c r="H94" s="121" t="n"/>
      <c r="I94" s="121" t="n"/>
      <c r="J94" s="121" t="n"/>
      <c r="K94" s="121" t="n"/>
      <c r="L94" s="121" t="n"/>
    </row>
    <row r="95">
      <c r="A95" s="111" t="inlineStr">
        <is>
          <t>Представитель лица, осуществляющего подготовку проектной документации</t>
        </is>
      </c>
    </row>
    <row r="96" ht="16.5" customHeight="1">
      <c r="A96" s="86" t="inlineStr">
        <is>
          <t>Филимонов К. В.</t>
        </is>
      </c>
      <c r="B96" s="119" t="n"/>
      <c r="C96" s="119" t="n"/>
      <c r="D96" s="119" t="n"/>
      <c r="E96" s="119" t="n"/>
      <c r="F96" s="119" t="n"/>
      <c r="G96" s="119" t="n"/>
      <c r="H96" s="119" t="n"/>
      <c r="I96" s="119" t="n"/>
      <c r="J96" s="119" t="n"/>
      <c r="K96" s="119" t="n"/>
      <c r="L96" s="119" t="n"/>
      <c r="M96" s="6" t="n"/>
    </row>
    <row r="97" ht="9" customHeight="1">
      <c r="A97" s="88" t="inlineStr">
        <is>
          <t>(фамилия, инициалы, подпись)</t>
        </is>
      </c>
      <c r="B97" s="121" t="n"/>
      <c r="C97" s="121" t="n"/>
      <c r="D97" s="121" t="n"/>
      <c r="E97" s="121" t="n"/>
      <c r="F97" s="121" t="n"/>
      <c r="G97" s="121" t="n"/>
      <c r="H97" s="121" t="n"/>
      <c r="I97" s="121" t="n"/>
      <c r="J97" s="121" t="n"/>
      <c r="K97" s="121" t="n"/>
      <c r="L97" s="121" t="n"/>
    </row>
    <row r="98" ht="6" customHeight="1">
      <c r="A98" s="8" t="n"/>
      <c r="B98" s="8" t="n"/>
      <c r="C98" s="8" t="n"/>
      <c r="D98" s="8" t="n"/>
      <c r="E98" s="8" t="n"/>
      <c r="F98" s="8" t="n"/>
      <c r="G98" s="8" t="n"/>
      <c r="H98" s="8" t="n"/>
      <c r="I98" s="8" t="n"/>
      <c r="J98" s="8" t="n"/>
      <c r="K98" s="8" t="n"/>
      <c r="L98" s="8" t="n"/>
    </row>
    <row r="99">
      <c r="A99" s="113" t="inlineStr">
        <is>
          <t xml:space="preserve">Представитель лица, выполнившего работы подлежащие освидетельствованию </t>
        </is>
      </c>
      <c r="M99" s="6" t="n"/>
    </row>
    <row r="100" ht="16.5" customHeight="1">
      <c r="A100" s="86" t="inlineStr">
        <is>
          <t>Бужу В.В.</t>
        </is>
      </c>
      <c r="B100" s="119" t="n"/>
      <c r="C100" s="119" t="n"/>
      <c r="D100" s="119" t="n"/>
      <c r="E100" s="119" t="n"/>
      <c r="F100" s="119" t="n"/>
      <c r="G100" s="119" t="n"/>
      <c r="H100" s="119" t="n"/>
      <c r="I100" s="119" t="n"/>
      <c r="J100" s="119" t="n"/>
      <c r="K100" s="119" t="n"/>
      <c r="L100" s="119" t="n"/>
      <c r="M100" s="6" t="n"/>
    </row>
    <row r="101" ht="9" customHeight="1">
      <c r="A101" s="88" t="inlineStr">
        <is>
          <t>(фамилия, инициалы, подпись)</t>
        </is>
      </c>
      <c r="B101" s="121" t="n"/>
      <c r="C101" s="121" t="n"/>
      <c r="D101" s="121" t="n"/>
      <c r="E101" s="121" t="n"/>
      <c r="F101" s="121" t="n"/>
      <c r="G101" s="121" t="n"/>
      <c r="H101" s="121" t="n"/>
      <c r="I101" s="121" t="n"/>
      <c r="J101" s="121" t="n"/>
      <c r="K101" s="121" t="n"/>
      <c r="L101" s="121" t="n"/>
    </row>
    <row r="102">
      <c r="A102" s="111" t="inlineStr">
        <is>
          <t>Представитель иных лиц:</t>
        </is>
      </c>
    </row>
    <row r="103" ht="16.5" customHeight="1">
      <c r="A103" s="86" t="inlineStr">
        <is>
          <t>Хрен с горы С.С.</t>
        </is>
      </c>
      <c r="B103" s="119" t="n"/>
      <c r="C103" s="119" t="n"/>
      <c r="D103" s="119" t="n"/>
      <c r="E103" s="119" t="n"/>
      <c r="F103" s="119" t="n"/>
      <c r="G103" s="119" t="n"/>
      <c r="H103" s="119" t="n"/>
      <c r="I103" s="119" t="n"/>
      <c r="J103" s="119" t="n"/>
      <c r="K103" s="119" t="n"/>
      <c r="L103" s="119" t="n"/>
      <c r="M103" s="6" t="n"/>
    </row>
    <row r="104" ht="9" customHeight="1">
      <c r="A104" s="88" t="inlineStr">
        <is>
          <t>(фамилия, инициалы, подпись)</t>
        </is>
      </c>
      <c r="B104" s="121" t="n"/>
      <c r="C104" s="121" t="n"/>
      <c r="D104" s="121" t="n"/>
      <c r="E104" s="121" t="n"/>
      <c r="F104" s="121" t="n"/>
      <c r="G104" s="121" t="n"/>
      <c r="H104" s="121" t="n"/>
      <c r="I104" s="121" t="n"/>
      <c r="J104" s="121" t="n"/>
      <c r="K104" s="121" t="n"/>
      <c r="L104" s="121" t="n"/>
    </row>
    <row r="105">
      <c r="A105" s="112" t="n"/>
      <c r="B105" s="119" t="n"/>
      <c r="C105" s="119" t="n"/>
      <c r="D105" s="119" t="n"/>
      <c r="E105" s="119" t="n"/>
      <c r="F105" s="119" t="n"/>
      <c r="G105" s="119" t="n"/>
      <c r="H105" s="119" t="n"/>
      <c r="I105" s="119" t="n"/>
      <c r="J105" s="119" t="n"/>
      <c r="K105" s="119" t="n"/>
      <c r="L105" s="119" t="n"/>
    </row>
    <row r="106" ht="9" customHeight="1">
      <c r="A106" s="88" t="inlineStr">
        <is>
          <t>(фамилия, инициалы, подпись)</t>
        </is>
      </c>
      <c r="B106" s="121" t="n"/>
      <c r="C106" s="121" t="n"/>
      <c r="D106" s="121" t="n"/>
      <c r="E106" s="121" t="n"/>
      <c r="F106" s="121" t="n"/>
      <c r="G106" s="121" t="n"/>
      <c r="H106" s="121" t="n"/>
      <c r="I106" s="121" t="n"/>
      <c r="J106" s="121" t="n"/>
      <c r="K106" s="121" t="n"/>
      <c r="L106" s="121" t="n"/>
    </row>
  </sheetData>
  <mergeCells count="101">
    <mergeCell ref="A37:L37"/>
    <mergeCell ref="A21:L21"/>
    <mergeCell ref="A105:L105"/>
    <mergeCell ref="A57:L57"/>
    <mergeCell ref="A26:L26"/>
    <mergeCell ref="A71:L71"/>
    <mergeCell ref="A23:L23"/>
    <mergeCell ref="A91:L91"/>
    <mergeCell ref="A100:L100"/>
    <mergeCell ref="A52:L52"/>
    <mergeCell ref="A93:L93"/>
    <mergeCell ref="A102:L102"/>
    <mergeCell ref="A77:C77"/>
    <mergeCell ref="A34:L34"/>
    <mergeCell ref="A83:L83"/>
    <mergeCell ref="A92:L92"/>
    <mergeCell ref="C67:D67"/>
    <mergeCell ref="A36:L36"/>
    <mergeCell ref="A6:L6"/>
    <mergeCell ref="A75:L75"/>
    <mergeCell ref="E67:F67"/>
    <mergeCell ref="A49:E49"/>
    <mergeCell ref="A3:L3"/>
    <mergeCell ref="A55:L55"/>
    <mergeCell ref="A12:L12"/>
    <mergeCell ref="A95:L95"/>
    <mergeCell ref="A104:L104"/>
    <mergeCell ref="A5:L5"/>
    <mergeCell ref="A32:L32"/>
    <mergeCell ref="A14:L14"/>
    <mergeCell ref="A97:L97"/>
    <mergeCell ref="A106:L106"/>
    <mergeCell ref="A4:L4"/>
    <mergeCell ref="A96:L96"/>
    <mergeCell ref="A38:L38"/>
    <mergeCell ref="A43:L43"/>
    <mergeCell ref="A31:L31"/>
    <mergeCell ref="A58:L58"/>
    <mergeCell ref="B39:K39"/>
    <mergeCell ref="A40:L40"/>
    <mergeCell ref="A73:L73"/>
    <mergeCell ref="A24:L24"/>
    <mergeCell ref="C66:D66"/>
    <mergeCell ref="E66:F66"/>
    <mergeCell ref="A76:D76"/>
    <mergeCell ref="A16:L16"/>
    <mergeCell ref="A25:L25"/>
    <mergeCell ref="A84:C84"/>
    <mergeCell ref="A18:L18"/>
    <mergeCell ref="A50:L50"/>
    <mergeCell ref="F49:L49"/>
    <mergeCell ref="A2:L2"/>
    <mergeCell ref="A86:L86"/>
    <mergeCell ref="A42:L42"/>
    <mergeCell ref="A47:L47"/>
    <mergeCell ref="A22:L22"/>
    <mergeCell ref="K46:L46"/>
    <mergeCell ref="A20:L20"/>
    <mergeCell ref="A13:L13"/>
    <mergeCell ref="A44:L44"/>
    <mergeCell ref="A59:L59"/>
    <mergeCell ref="A64:L64"/>
    <mergeCell ref="A15:L15"/>
    <mergeCell ref="E76:L76"/>
    <mergeCell ref="A51:L51"/>
    <mergeCell ref="A79:C79"/>
    <mergeCell ref="A61:L61"/>
    <mergeCell ref="A88:L88"/>
    <mergeCell ref="A70:L70"/>
    <mergeCell ref="H30:I30"/>
    <mergeCell ref="A54:L54"/>
    <mergeCell ref="A7:L7"/>
    <mergeCell ref="A90:L90"/>
    <mergeCell ref="A41:L41"/>
    <mergeCell ref="H29:I29"/>
    <mergeCell ref="A99:L99"/>
    <mergeCell ref="A89:F89"/>
    <mergeCell ref="C82:L82"/>
    <mergeCell ref="A74:L74"/>
    <mergeCell ref="A27:L27"/>
    <mergeCell ref="A101:L101"/>
    <mergeCell ref="A85:C85"/>
    <mergeCell ref="A33:L33"/>
    <mergeCell ref="A8:L8"/>
    <mergeCell ref="A17:L17"/>
    <mergeCell ref="A35:L35"/>
    <mergeCell ref="A62:L62"/>
    <mergeCell ref="A10:L10"/>
    <mergeCell ref="A19:L19"/>
    <mergeCell ref="A28:L28"/>
    <mergeCell ref="A9:L9"/>
    <mergeCell ref="A48:L48"/>
    <mergeCell ref="A46:J46"/>
    <mergeCell ref="A11:L11"/>
    <mergeCell ref="A103:L103"/>
    <mergeCell ref="A94:L94"/>
    <mergeCell ref="A45:L45"/>
    <mergeCell ref="A1:L1"/>
    <mergeCell ref="A78:C78"/>
    <mergeCell ref="A87:L87"/>
    <mergeCell ref="A65:L65"/>
  </mergeCells>
  <pageMargins left="0.7" right="0.7" top="0.75" bottom="0.75" header="0.3" footer="0.3"/>
  <pageSetup orientation="portrait" paperSize="9" scale="68" fitToHeight="2"/>
  <rowBreaks count="1" manualBreakCount="1">
    <brk id="59" min="0" max="11" man="1"/>
  </rowBreaks>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GregoryReyn</dc:creator>
  <dcterms:created xsi:type="dcterms:W3CDTF">2023-05-26T06:32:36Z</dcterms:created>
  <dcterms:modified xsi:type="dcterms:W3CDTF">2023-06-08T10:40:44Z</dcterms:modified>
  <cp:lastModifiedBy>GregoryReyn</cp:lastModifiedBy>
</cp:coreProperties>
</file>